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nataliealba/Downloads/"/>
    </mc:Choice>
  </mc:AlternateContent>
  <xr:revisionPtr revIDLastSave="0" documentId="13_ncr:1_{FF6D9900-5C25-F845-8A73-085395D0B808}" xr6:coauthVersionLast="47" xr6:coauthVersionMax="47" xr10:uidLastSave="{00000000-0000-0000-0000-000000000000}"/>
  <bookViews>
    <workbookView xWindow="0" yWindow="740" windowWidth="24640" windowHeight="15720" activeTab="2" xr2:uid="{00000000-000D-0000-FFFF-FFFF00000000}"/>
  </bookViews>
  <sheets>
    <sheet name="Transporation" sheetId="2" state="hidden" r:id="rId1"/>
    <sheet name="LEGEND - explains color coding" sheetId="1" r:id="rId2"/>
    <sheet name="FPP 2026" sheetId="3" r:id="rId3"/>
    <sheet name="Emma_Notes_6.26" sheetId="11" state="hidden" r:id="rId4"/>
    <sheet name="FPP 23 Spring Delivery Data" sheetId="4" state="hidden" r:id="rId5"/>
  </sheets>
  <definedNames>
    <definedName name="_xlnm._FilterDatabase" localSheetId="3" hidden="1">Emma_Notes_6.26!$H$1:$H$437</definedName>
    <definedName name="_xlnm._FilterDatabase" localSheetId="2" hidden="1">'FPP 2026'!#REF!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4" roundtripDataChecksum="ZIh+3n3YERRjt6tUWjfDVHvM3gcw400K3Pf+VksS2O0="/>
    </ext>
  </extLst>
</workbook>
</file>

<file path=xl/calcChain.xml><?xml version="1.0" encoding="utf-8"?>
<calcChain xmlns="http://schemas.openxmlformats.org/spreadsheetml/2006/main">
  <c r="B27" i="1" l="1"/>
  <c r="B26" i="1"/>
  <c r="A41" i="1"/>
  <c r="A40" i="1"/>
  <c r="A33" i="1"/>
  <c r="M4" i="11"/>
  <c r="M3" i="11"/>
  <c r="D5" i="11"/>
  <c r="D3" i="11"/>
  <c r="E3" i="11" s="1"/>
  <c r="D4" i="11"/>
  <c r="E4" i="11" s="1"/>
  <c r="D2" i="11"/>
  <c r="E2" i="11"/>
</calcChain>
</file>

<file path=xl/sharedStrings.xml><?xml version="1.0" encoding="utf-8"?>
<sst xmlns="http://schemas.openxmlformats.org/spreadsheetml/2006/main" count="8781" uniqueCount="4437">
  <si>
    <t>Patient Name</t>
  </si>
  <si>
    <t>Age</t>
  </si>
  <si>
    <t>Race/Ethnicity</t>
  </si>
  <si>
    <t>Household #</t>
  </si>
  <si>
    <t>Date first informed</t>
  </si>
  <si>
    <t>Baseline/6 Month Survey</t>
  </si>
  <si>
    <t>1 month survey</t>
  </si>
  <si>
    <t>contact status</t>
  </si>
  <si>
    <t>M/F</t>
  </si>
  <si>
    <t>MRN</t>
  </si>
  <si>
    <t>Phone number</t>
  </si>
  <si>
    <t>Added to the main list?</t>
  </si>
  <si>
    <t>Harris, Emma L</t>
  </si>
  <si>
    <t>need baseline</t>
  </si>
  <si>
    <t xml:space="preserve"> </t>
  </si>
  <si>
    <t>F</t>
  </si>
  <si>
    <t>K94260</t>
  </si>
  <si>
    <t>919-477-8107</t>
  </si>
  <si>
    <t>This patient has passed away but we added her daughter/father</t>
  </si>
  <si>
    <t>Hudson, Lorenzo</t>
  </si>
  <si>
    <t>ask text/call</t>
  </si>
  <si>
    <t>M</t>
  </si>
  <si>
    <t>Y77066</t>
  </si>
  <si>
    <t>919-366-8922</t>
  </si>
  <si>
    <t>Yes</t>
  </si>
  <si>
    <t>Cozart, Felisa R</t>
  </si>
  <si>
    <t>G74705</t>
  </si>
  <si>
    <t>919-725-3784</t>
  </si>
  <si>
    <t>Kenan, Donald</t>
  </si>
  <si>
    <t>H76529</t>
  </si>
  <si>
    <t xml:space="preserve">919-201-5713 </t>
  </si>
  <si>
    <t>Ford, Marvin</t>
  </si>
  <si>
    <t>S08325</t>
  </si>
  <si>
    <t xml:space="preserve">919-225-4709 </t>
  </si>
  <si>
    <t>Cordero, Raquel</t>
  </si>
  <si>
    <t>need one month</t>
  </si>
  <si>
    <t>XW9715</t>
  </si>
  <si>
    <t>919-597-0052</t>
  </si>
  <si>
    <t>Thorpe, Nikia C</t>
  </si>
  <si>
    <t>P65019</t>
  </si>
  <si>
    <t>919-482-9194</t>
  </si>
  <si>
    <t>Odom Sr, Darius L</t>
  </si>
  <si>
    <t>H82727</t>
  </si>
  <si>
    <t>919-591-4296</t>
  </si>
  <si>
    <t>Blalock, Clyde</t>
  </si>
  <si>
    <t>Caucasian</t>
  </si>
  <si>
    <t>G64296</t>
  </si>
  <si>
    <t>919-225-8277</t>
  </si>
  <si>
    <t>Chambers, Annie</t>
  </si>
  <si>
    <t>F80818</t>
  </si>
  <si>
    <t>919-682-7323</t>
  </si>
  <si>
    <t>Chandler, Karina</t>
  </si>
  <si>
    <t xml:space="preserve">F </t>
  </si>
  <si>
    <t>CJ3573</t>
  </si>
  <si>
    <t>919-638-3813</t>
  </si>
  <si>
    <t>Chavis, Geneithia</t>
  </si>
  <si>
    <t>N27459</t>
  </si>
  <si>
    <t>919-519-7779</t>
  </si>
  <si>
    <t>Cox, Sharon Evette</t>
  </si>
  <si>
    <t>K10626</t>
  </si>
  <si>
    <t>252-226-8232</t>
  </si>
  <si>
    <t>Ewing, Delores</t>
  </si>
  <si>
    <t>B67303</t>
  </si>
  <si>
    <t>919-519-3994</t>
  </si>
  <si>
    <t>Furbert, Vannessa</t>
  </si>
  <si>
    <t>Black</t>
  </si>
  <si>
    <t>SX7302</t>
  </si>
  <si>
    <t xml:space="preserve">360-990-9420 </t>
  </si>
  <si>
    <t>Green, Charlene Y</t>
  </si>
  <si>
    <t>919-797-7115</t>
  </si>
  <si>
    <t>Harris, Hazel</t>
  </si>
  <si>
    <t>H23585</t>
  </si>
  <si>
    <t>919-294-8180</t>
  </si>
  <si>
    <t xml:space="preserve">Jackson, Cheryl </t>
  </si>
  <si>
    <t>F91992</t>
  </si>
  <si>
    <t xml:space="preserve">919-680-4739 </t>
  </si>
  <si>
    <t>McKeithan, Sandra</t>
  </si>
  <si>
    <t>E43360</t>
  </si>
  <si>
    <t xml:space="preserve">919-973-2244 </t>
  </si>
  <si>
    <t>Patterson, Febbie M</t>
  </si>
  <si>
    <t>D27119</t>
  </si>
  <si>
    <t>919-793-6164</t>
  </si>
  <si>
    <t>Pearley, Joe</t>
  </si>
  <si>
    <t>M33523</t>
  </si>
  <si>
    <t xml:space="preserve">919-699-8464 </t>
  </si>
  <si>
    <t>Robinson, Tony A</t>
  </si>
  <si>
    <t>AN6945</t>
  </si>
  <si>
    <t>919-672-8846</t>
  </si>
  <si>
    <t>Williams, Nathaniel</t>
  </si>
  <si>
    <t>H76381</t>
  </si>
  <si>
    <t xml:space="preserve">919-672-5553 </t>
  </si>
  <si>
    <t>REMINDER: DO NOT SORT THE SHEET</t>
  </si>
  <si>
    <t>COLOR CODE - COLOR THE "NAME" FIELD</t>
  </si>
  <si>
    <t>Dark Green</t>
  </si>
  <si>
    <t>CURRENT WEEK delivery confirmation</t>
  </si>
  <si>
    <t>Light Green</t>
  </si>
  <si>
    <t>Patient doesn't want delivery this week but actively wants food in the future</t>
  </si>
  <si>
    <t>Yellow</t>
  </si>
  <si>
    <t>Newly added by provider to queue, has not been added to calling list yet</t>
  </si>
  <si>
    <t>Red</t>
  </si>
  <si>
    <t>Patient has moved outside of our radius, confirmed they are not interested, or provider determined the patient is not in need</t>
  </si>
  <si>
    <t>Purple</t>
  </si>
  <si>
    <t>New patient added to calling list; needs to be CALLED</t>
  </si>
  <si>
    <t>Tan</t>
  </si>
  <si>
    <t>A/M need to f/u on deliveries made or not</t>
  </si>
  <si>
    <t xml:space="preserve">Blue </t>
  </si>
  <si>
    <t>Deliveries on hold for a month or more</t>
  </si>
  <si>
    <t>Salmon Pink</t>
  </si>
  <si>
    <t>CURRENT WEEK needs call confirmation</t>
  </si>
  <si>
    <t>contact information needs to be checked/updated</t>
  </si>
  <si>
    <t>White on Black</t>
  </si>
  <si>
    <t>Saturday delivery - only to be done by FPP exec. member</t>
  </si>
  <si>
    <t>FORMULAS/DATA: FOR FPP LEADER USE</t>
  </si>
  <si>
    <t>Unique ID creation</t>
  </si>
  <si>
    <r>
      <rPr>
        <sz val="11"/>
        <color rgb="FF444444"/>
        <rFont val="Calibri"/>
        <family val="2"/>
      </rPr>
      <t xml:space="preserve">To create a Unique Id: Open a new tab (or use the bottom of this tab), copy/paste the below formula into a new cell as </t>
    </r>
    <r>
      <rPr>
        <sz val="11"/>
        <color rgb="FFFF0000"/>
        <rFont val="Calibri"/>
        <family val="2"/>
      </rPr>
      <t>VALUES ONLY</t>
    </r>
    <r>
      <rPr>
        <sz val="11"/>
        <color rgb="FF444444"/>
        <rFont val="Calibri"/>
        <family val="2"/>
      </rPr>
      <t xml:space="preserve"> (paste it, then click the drop down and choose values only, or use the shortcut). Then type the new unique ID into the master sheet. </t>
    </r>
    <r>
      <rPr>
        <sz val="11"/>
        <color rgb="FFFF0000"/>
        <rFont val="Calibri"/>
        <family val="2"/>
      </rPr>
      <t>BE CAREFUL: if you copy/paste this formula into the master sheet will randomize ALL unique ID's on that sheet. Just "undo" if that happens.</t>
    </r>
  </si>
  <si>
    <t>=Right(DEC2HEX(RANDBETWEEN(0, 4294967295), 8),5)</t>
  </si>
  <si>
    <t>A/B Slope Equation</t>
  </si>
  <si>
    <t>Longitude=2.5363(latitude)-170.1866726</t>
  </si>
  <si>
    <t xml:space="preserve">If Longitude&gt; 2.5363(LAT)-170.1866726, then the patient's location should be in the B group. </t>
  </si>
  <si>
    <t>Total As:</t>
  </si>
  <si>
    <t>Total Bs:</t>
  </si>
  <si>
    <t>Link to Participant Address Assigner and Geocoder:</t>
  </si>
  <si>
    <t>https://docs.google.com/spreadsheets/d/1_C-cMn_6l6onWVK_UipwuQSSXpiCqnZ0k9hgmvaJEKY/edit?usp=sharing</t>
  </si>
  <si>
    <t xml:space="preserve">McKiever, Michelle </t>
  </si>
  <si>
    <t>Gaines, Chiquita</t>
  </si>
  <si>
    <t>Other</t>
  </si>
  <si>
    <t>Hence, Ida</t>
  </si>
  <si>
    <t>Dutton, Ian</t>
  </si>
  <si>
    <t xml:space="preserve">Leija Vasquez, Cesar </t>
  </si>
  <si>
    <t>Shealey, Tatianna</t>
  </si>
  <si>
    <t>Olds, Jacqueline</t>
  </si>
  <si>
    <t>Davis, Cathy</t>
  </si>
  <si>
    <t>Jaimes Cabaras, Betsabe</t>
  </si>
  <si>
    <t>Hart, Rontechia</t>
  </si>
  <si>
    <t>King, Linda</t>
  </si>
  <si>
    <t>Medina Artica, Jean</t>
  </si>
  <si>
    <t>Pedroza Banilla, Larry</t>
  </si>
  <si>
    <t>Group Assignment</t>
  </si>
  <si>
    <t>Name</t>
  </si>
  <si>
    <t>Phone Number (xxx-xxx-xxxx)</t>
  </si>
  <si>
    <t>Phone Details or Alternative Phone #</t>
  </si>
  <si>
    <t>Texts Preferred?</t>
  </si>
  <si>
    <t>Able to Receive Texts?</t>
  </si>
  <si>
    <t>Paired?</t>
  </si>
  <si>
    <t>Notes to FPP Team</t>
  </si>
  <si>
    <t>Notes for Drivers (Route Info)</t>
  </si>
  <si>
    <t>Locked building?</t>
  </si>
  <si>
    <t>Guardian</t>
  </si>
  <si>
    <t>Household size</t>
  </si>
  <si>
    <t>Address</t>
  </si>
  <si>
    <t>Street</t>
  </si>
  <si>
    <t>City</t>
  </si>
  <si>
    <t>State/Region</t>
  </si>
  <si>
    <t>Postal</t>
  </si>
  <si>
    <t>Country</t>
  </si>
  <si>
    <t>GeoCode</t>
  </si>
  <si>
    <t>GeoCode Distance From FFS</t>
  </si>
  <si>
    <t>GeoCodeDriveTimefromFFS</t>
  </si>
  <si>
    <t>GeoCoded Date</t>
  </si>
  <si>
    <t>Unique Identifier</t>
  </si>
  <si>
    <t xml:space="preserve">Consent to Access Medical Record, if Necessary? </t>
  </si>
  <si>
    <t># of Bags</t>
  </si>
  <si>
    <t>Preferred Language</t>
  </si>
  <si>
    <t>Pronouns$</t>
  </si>
  <si>
    <t>Race/ Ethnicity$</t>
  </si>
  <si>
    <t>Email Address</t>
  </si>
  <si>
    <t>Annual Re-enrollment Survey Complete?</t>
  </si>
  <si>
    <t>Call Notes 8/19</t>
  </si>
  <si>
    <t>Call Notes 8/26</t>
  </si>
  <si>
    <t>Call Notes 9/2</t>
  </si>
  <si>
    <t>Call Notes 9/9</t>
  </si>
  <si>
    <t>Call Notes 9/16</t>
  </si>
  <si>
    <t>Call Notes 9/23</t>
  </si>
  <si>
    <t>Call Notes 9/30</t>
  </si>
  <si>
    <t>Call Notes 10/7</t>
  </si>
  <si>
    <t>Call Notes 10/14</t>
  </si>
  <si>
    <t>Call Notes 10/21</t>
  </si>
  <si>
    <t>Call Notes 10/28</t>
  </si>
  <si>
    <t>Call Notes 11/4</t>
  </si>
  <si>
    <t>Call Notes 11/11</t>
  </si>
  <si>
    <t>Call Notes 11/18</t>
  </si>
  <si>
    <t>Call Notes 11/25</t>
  </si>
  <si>
    <t>Call Notes 12/2</t>
  </si>
  <si>
    <t>Call Notes 12/9</t>
  </si>
  <si>
    <t>Call Notes 12/16</t>
  </si>
  <si>
    <t>Call Notes 12/23</t>
  </si>
  <si>
    <t>Call Notes 12/30</t>
  </si>
  <si>
    <t>Call Notes 1/6</t>
  </si>
  <si>
    <t>Call Notes 1/13</t>
  </si>
  <si>
    <t>Paired? (Y [volunteer] / N)</t>
  </si>
  <si>
    <t>GLIDE Participants</t>
  </si>
  <si>
    <t>Call Notes 1/20</t>
  </si>
  <si>
    <t>Call Notes 1/27</t>
  </si>
  <si>
    <t>Call Notes 2/3</t>
  </si>
  <si>
    <t>Call Notes 2/10</t>
  </si>
  <si>
    <t>Call Notes 2/17</t>
  </si>
  <si>
    <t>Call Notes 2/24</t>
  </si>
  <si>
    <t>Call Notes 3/2</t>
  </si>
  <si>
    <t>Call Notes 3/9</t>
  </si>
  <si>
    <t>Call Notes 3/16</t>
  </si>
  <si>
    <t>Call Notes 3/23</t>
  </si>
  <si>
    <t>Call Notes 3/30</t>
  </si>
  <si>
    <t>Call Notes 4/6</t>
  </si>
  <si>
    <t>Call Notes 4/13</t>
  </si>
  <si>
    <t>Call Notes 4/20</t>
  </si>
  <si>
    <t>Call Notes 4/27</t>
  </si>
  <si>
    <t>Call Notes 5/11</t>
  </si>
  <si>
    <t>Call Notes 5/18</t>
  </si>
  <si>
    <t>Call Notes 5/25</t>
  </si>
  <si>
    <t>Call Notes 6/1</t>
  </si>
  <si>
    <t>Call Notes 6/8</t>
  </si>
  <si>
    <t>Call Notes 6/15</t>
  </si>
  <si>
    <t>Call Notes 6/22</t>
  </si>
  <si>
    <t>Call Notes 6/29</t>
  </si>
  <si>
    <t>Call Notes 7/6</t>
  </si>
  <si>
    <t>Call Notes 7/13</t>
  </si>
  <si>
    <t>Call Notes 7/20</t>
  </si>
  <si>
    <t>Call Notes 7/27</t>
  </si>
  <si>
    <t>Call Notes 8/3</t>
  </si>
  <si>
    <t>Call Notes 8/10</t>
  </si>
  <si>
    <t>Call Notes 8/17</t>
  </si>
  <si>
    <t>Call Notes 8/24</t>
  </si>
  <si>
    <t>Call Notes 8/31</t>
  </si>
  <si>
    <t>Call Notes 9/7</t>
  </si>
  <si>
    <t>Call Notes 9/14</t>
  </si>
  <si>
    <t>Call Notes 9/21</t>
  </si>
  <si>
    <t>Call Notes 9/28</t>
  </si>
  <si>
    <t>Call Notes 10/5</t>
  </si>
  <si>
    <t>Call Notes 10/12</t>
  </si>
  <si>
    <t>Call Notes 10/19</t>
  </si>
  <si>
    <t>Call Notes 10/26</t>
  </si>
  <si>
    <t>Call Notes 11/2</t>
  </si>
  <si>
    <t>Call Notes 11/9</t>
  </si>
  <si>
    <t>Call Notes 11/16</t>
  </si>
  <si>
    <t>Call Notes 11/23</t>
  </si>
  <si>
    <t>Call Notes 11/30</t>
  </si>
  <si>
    <t>Call Notes 12/7</t>
  </si>
  <si>
    <t>Call Notes 12/14</t>
  </si>
  <si>
    <t>Call Notes 12/21</t>
  </si>
  <si>
    <t>Call Notes 12/28</t>
  </si>
  <si>
    <t>Call Notes 1/4</t>
  </si>
  <si>
    <t>Call Notes 1/11</t>
  </si>
  <si>
    <t>Call Notes 1/18</t>
  </si>
  <si>
    <t>Call Notes 1/25</t>
  </si>
  <si>
    <t>Call Notes 2/1</t>
  </si>
  <si>
    <t>Call Notes 2/8</t>
  </si>
  <si>
    <t>Call Notes 2/15</t>
  </si>
  <si>
    <t>Call Notes 5/4</t>
  </si>
  <si>
    <t>Call Notes 2/22</t>
  </si>
  <si>
    <t>Call Notes 3/1</t>
  </si>
  <si>
    <t>Call Notes 3/8</t>
  </si>
  <si>
    <t>Call Notes 3/15</t>
  </si>
  <si>
    <t>Call Notes 3/22</t>
  </si>
  <si>
    <t>Call Notes 3/29</t>
  </si>
  <si>
    <t>Call Notes 4/5</t>
  </si>
  <si>
    <t>Call Notes 4/12</t>
  </si>
  <si>
    <t>Call Notes 4/19</t>
  </si>
  <si>
    <t>Call Notes 4/26</t>
  </si>
  <si>
    <t>Call Notes 5/3</t>
  </si>
  <si>
    <t>Call Notes 5/10</t>
  </si>
  <si>
    <t>Call Notes 5/17</t>
  </si>
  <si>
    <t>Call Notes 5/24</t>
  </si>
  <si>
    <t>Call Notes 5/31</t>
  </si>
  <si>
    <t>Call Notes 6/7</t>
  </si>
  <si>
    <t>Call Notes 6/14</t>
  </si>
  <si>
    <t>Call Notes 6/21</t>
  </si>
  <si>
    <t>Call Notes 6/28</t>
  </si>
  <si>
    <t>Call Notes 7/5</t>
  </si>
  <si>
    <t>Call Notes 7/12</t>
  </si>
  <si>
    <t>Call Notes 7/19</t>
  </si>
  <si>
    <t>Call Notes 7/26</t>
  </si>
  <si>
    <t>Call Notes 8/2</t>
  </si>
  <si>
    <t>Call Notes 8/9</t>
  </si>
  <si>
    <t>Call Notes 8/16</t>
  </si>
  <si>
    <t>Call Notes 8/23</t>
  </si>
  <si>
    <t>Call Notes 8/30</t>
  </si>
  <si>
    <t>Call Notes 9/6</t>
  </si>
  <si>
    <t>Call Notes 9/13</t>
  </si>
  <si>
    <t>Call Notes 9/20</t>
  </si>
  <si>
    <t>Call Notes 9/27</t>
  </si>
  <si>
    <t>Call Notes 10/4</t>
  </si>
  <si>
    <t>Call Notes 10/11</t>
  </si>
  <si>
    <t>Call Notes 10/18</t>
  </si>
  <si>
    <t>Call Notes 10/25</t>
  </si>
  <si>
    <t>Call Notes 11/1</t>
  </si>
  <si>
    <t>Call Notes 11/8</t>
  </si>
  <si>
    <t>Call Notes 11/15</t>
  </si>
  <si>
    <t>Call Notes 11/22</t>
  </si>
  <si>
    <t>Call Notes 11/29</t>
  </si>
  <si>
    <t>B</t>
  </si>
  <si>
    <t xml:space="preserve">Daye, Jaison Jermaine </t>
  </si>
  <si>
    <t> </t>
  </si>
  <si>
    <t>Durham</t>
  </si>
  <si>
    <t>NC</t>
  </si>
  <si>
    <t>US</t>
  </si>
  <si>
    <t>6.2 mi</t>
  </si>
  <si>
    <t>Coded by SB 6.19.26</t>
  </si>
  <si>
    <t>472CQ</t>
  </si>
  <si>
    <t>English</t>
  </si>
  <si>
    <t>she/her</t>
  </si>
  <si>
    <t>EY confirmed via DMC 8/7</t>
  </si>
  <si>
    <t>EY confirmed via DMC 9/4</t>
  </si>
  <si>
    <t>EY confirmed via DMC 10/2</t>
  </si>
  <si>
    <t>NN 11/3 cofirmed via call</t>
  </si>
  <si>
    <t>DL 11/30 Confirmed delivery on phone</t>
  </si>
  <si>
    <t>DL 11/30 confirmed delivery on phone</t>
  </si>
  <si>
    <t>DL- 12/27: Confirmed on text</t>
  </si>
  <si>
    <t>DS confirmed 1/22</t>
  </si>
  <si>
    <t xml:space="preserve">MQ confirmed 2/20 </t>
  </si>
  <si>
    <t>ZG confirmed via call 03/21</t>
  </si>
  <si>
    <t>AK confirmed 4/18</t>
  </si>
  <si>
    <t>IC 5/17 confirmed delivery</t>
  </si>
  <si>
    <t>MB confirmed 6/11</t>
  </si>
  <si>
    <t>DL 7/11 vm full, left text</t>
  </si>
  <si>
    <t>EY confirmed via DMC 7/22</t>
  </si>
  <si>
    <t>KD- confirmed via call 8/21</t>
  </si>
  <si>
    <t>ALA 9/17 confirmed via call</t>
  </si>
  <si>
    <t>DL 10/15 confirmed via call</t>
  </si>
  <si>
    <t>11/13 JJ confirmed via call</t>
  </si>
  <si>
    <t>EY confirmed via DMC 12/9</t>
  </si>
  <si>
    <t>EY confirmed via DMC 1/5</t>
  </si>
  <si>
    <t>EY confirmed via DMC 2/2</t>
  </si>
  <si>
    <t>EY confirmed via DMC 3/3</t>
  </si>
  <si>
    <t>EY confirmed via DMC 3/31</t>
  </si>
  <si>
    <t>IC 5/2 confirmed delivery</t>
  </si>
  <si>
    <t>AS confirmed via text 5/28</t>
  </si>
  <si>
    <t>DR confirmed via DMC, 6/36</t>
  </si>
  <si>
    <t>7/23 DL vm full left text</t>
  </si>
  <si>
    <t>CH, 8/4, Called, answered and confirmed by Mother</t>
  </si>
  <si>
    <t>CH confirmed 9/4</t>
  </si>
  <si>
    <t>CH, 9/29, confirmed</t>
  </si>
  <si>
    <t>GB confirmed via DMC 10/26</t>
  </si>
  <si>
    <t>AS confirmed via text 11/12</t>
  </si>
  <si>
    <t>EZ confirmed via DMC 3/3</t>
  </si>
  <si>
    <t>Victorio, Yulissa</t>
  </si>
  <si>
    <t>E1E84</t>
  </si>
  <si>
    <t>Hispanic/Latinx</t>
  </si>
  <si>
    <t>ML left VM and text 8/23</t>
  </si>
  <si>
    <t>Kyle Coaker (please update columns 9/9 &amp; 9/23)</t>
  </si>
  <si>
    <t>KC left VM and called 9/20</t>
  </si>
  <si>
    <t>CM sent a text 10/6</t>
  </si>
  <si>
    <t>EY confirmed via DMC 10/19</t>
  </si>
  <si>
    <t>CM left a voicemail and sent a text 11/16</t>
  </si>
  <si>
    <t>CM left a voicemail on 11/30</t>
  </si>
  <si>
    <t>KC 12/15 left VM and text</t>
  </si>
  <si>
    <t xml:space="preserve">IC 12/28 confirmed delivery </t>
  </si>
  <si>
    <t>IC 1/24 left txt + vm</t>
  </si>
  <si>
    <t>KC 02/06 VM box full, sent text</t>
  </si>
  <si>
    <t>KC 02/20 left VM and text</t>
  </si>
  <si>
    <t>KC 03/06 confirmed</t>
  </si>
  <si>
    <t>EN 4/03 Left voice mail &amp; txt mssg</t>
  </si>
  <si>
    <t>CM left vm + txt</t>
  </si>
  <si>
    <t>KC 5/28 left text and VM</t>
  </si>
  <si>
    <t>KC 5/13 left VM and text</t>
  </si>
  <si>
    <t>WS Confirmed Via Text</t>
  </si>
  <si>
    <t>CB 8/21 Confirmed delivery via text</t>
  </si>
  <si>
    <t>EN 9/17 left voicemail, sent text</t>
  </si>
  <si>
    <t>MB confirmed 10/01</t>
  </si>
  <si>
    <t>EY confirmed via DMC 10/28</t>
  </si>
  <si>
    <t>EY confirmed via DMC 11/25</t>
  </si>
  <si>
    <t>EY confirmed via call DMC 12/23</t>
  </si>
  <si>
    <t>EY confirmed via DMC 1/19</t>
  </si>
  <si>
    <t>EY confirmed via DMC 2/16</t>
  </si>
  <si>
    <t>EY confirmed via DMC 3/17</t>
  </si>
  <si>
    <t>EY confirmed via DMC 4/14</t>
  </si>
  <si>
    <t>EY skip via DMC 4/14</t>
  </si>
  <si>
    <t>DL 5/15 left vm and text</t>
  </si>
  <si>
    <t>5/28 DL left text and vm</t>
  </si>
  <si>
    <t xml:space="preserve">Homeless right now - will text us when she finds a spot </t>
  </si>
  <si>
    <t>EY confirmed via DMC 7/20</t>
  </si>
  <si>
    <t>EY confirmed via DMC 8/17</t>
  </si>
  <si>
    <t>EY confirmed via DMC 9/15</t>
  </si>
  <si>
    <t>CH, 10/13, Confirmed</t>
  </si>
  <si>
    <t>CH, 11/11, Confirmed</t>
  </si>
  <si>
    <t>Garrett, Yvonne</t>
  </si>
  <si>
    <t>1.7 mi</t>
  </si>
  <si>
    <t>F801E</t>
  </si>
  <si>
    <t>SG confirmed via call, requesting melons and no fresh greens</t>
  </si>
  <si>
    <t>DA 11/2 confirmed</t>
  </si>
  <si>
    <t>NN confirmed 11/30</t>
  </si>
  <si>
    <t>TG confirmed 12/28 via text</t>
  </si>
  <si>
    <t>KG 1/24 confirmed for 1/27 and 2/10</t>
  </si>
  <si>
    <t>DS confirmed 2/19</t>
  </si>
  <si>
    <t>BK 3/21 left vm and text</t>
  </si>
  <si>
    <t>TG 4/4 - Sent text</t>
  </si>
  <si>
    <t>SW 4/17 confirmed</t>
  </si>
  <si>
    <t>TG 5/15 - Sent vm and text</t>
  </si>
  <si>
    <t>DS confirmed</t>
  </si>
  <si>
    <t>ML left VM and text 6/25</t>
  </si>
  <si>
    <t>Skip</t>
  </si>
  <si>
    <t>EY confirmed via GV 7/8</t>
  </si>
  <si>
    <t>ASM left voicemail &amp; sent text</t>
  </si>
  <si>
    <t>TG 8/22 Left vm</t>
  </si>
  <si>
    <t>TG 9/4 Left vm and sent text</t>
  </si>
  <si>
    <t>DR 9/18 texted but VM full (no response as of 6:15 pm on 9/18)</t>
  </si>
  <si>
    <t>AE 10/1 sent text, left VM</t>
  </si>
  <si>
    <t xml:space="preserve">EB called and texted via GV 10/17. VM inbox full </t>
  </si>
  <si>
    <t>CB 12/26 Confirmed delivery</t>
  </si>
  <si>
    <t>EY confirmed via DMC 5/14</t>
  </si>
  <si>
    <t>MS 6/12 left text</t>
  </si>
  <si>
    <t>IC 6/27 left txt + vm</t>
  </si>
  <si>
    <t>AS left vm + text 7/9</t>
  </si>
  <si>
    <t>EY confirmed via DMC 7/21</t>
  </si>
  <si>
    <t>EY confirmed via DMC 8/18</t>
  </si>
  <si>
    <t>EY confirmed via DMC 10/12</t>
  </si>
  <si>
    <t>EY confirmed via DMC 11/9</t>
  </si>
  <si>
    <t>EZ confirmed via DMC 3/1</t>
  </si>
  <si>
    <t xml:space="preserve">Yes  </t>
  </si>
  <si>
    <t>10.0 mi</t>
  </si>
  <si>
    <t>C2927</t>
  </si>
  <si>
    <t>Black/African American</t>
  </si>
  <si>
    <t>EY confirmed via DMC 8/22</t>
  </si>
  <si>
    <t>EY confirmed via DMC 9/18</t>
  </si>
  <si>
    <t>KO confirmed via call 11/16</t>
  </si>
  <si>
    <t>EP 12/13 confirmed via text</t>
  </si>
  <si>
    <t>BL confirmed via text 1/11</t>
  </si>
  <si>
    <t>AC 2/5 confirmed delivery both dates</t>
  </si>
  <si>
    <t>JS 3/4: confirmed via call (also changed name of patient)</t>
  </si>
  <si>
    <t>BK 4/1 confirmed delivery</t>
  </si>
  <si>
    <t>MB Confirmed 5/18 and 6/1</t>
  </si>
  <si>
    <t>CB 6/12 Confirmed delivery via call</t>
  </si>
  <si>
    <t>JB - confirmed for both days</t>
  </si>
  <si>
    <t>8/8 DL Confirmed</t>
  </si>
  <si>
    <t>RH 9/6 Confirmed Via Text</t>
  </si>
  <si>
    <t>MB sent vm+text</t>
  </si>
  <si>
    <t>EB confirmed via GV 10/17</t>
  </si>
  <si>
    <t>DR confirmed via phone 11/11</t>
  </si>
  <si>
    <t>IC 12/27 confirmed delivery</t>
  </si>
  <si>
    <t>TG 1/23 Left voicemail</t>
  </si>
  <si>
    <t>TG 2/5 Confirmed delivery via phone</t>
  </si>
  <si>
    <t>YA 5/3 left vm+ sent text</t>
  </si>
  <si>
    <t xml:space="preserve">DZ 4/1 confirmed </t>
  </si>
  <si>
    <t>EY left vm and text 4/30</t>
  </si>
  <si>
    <t>EB texted via GV 5/13</t>
  </si>
  <si>
    <t>5/28 DL confirmed via call</t>
  </si>
  <si>
    <t>DR confirmed via DMC, 6/28</t>
  </si>
  <si>
    <t>CH, 9/16, called left VM and text</t>
  </si>
  <si>
    <t>AS called and confirmed 9/30</t>
  </si>
  <si>
    <t>Hester, Terence</t>
  </si>
  <si>
    <t>A5B7C</t>
  </si>
  <si>
    <t>JB - confirmed for 8/26 via call</t>
  </si>
  <si>
    <t>ZG left VM 11/2</t>
  </si>
  <si>
    <t>CF left vm and text 11/15</t>
  </si>
  <si>
    <t>ASM hung up on me twice, sent text</t>
  </si>
  <si>
    <t>ZG 12/15 confirmed delivery</t>
  </si>
  <si>
    <t>ZG 1/11 confirmed delivery</t>
  </si>
  <si>
    <t>Sam Weitzel (please update columns 2/10 &amp; 2/24)</t>
  </si>
  <si>
    <t>JB- confirmed for both days; 3 in household now</t>
  </si>
  <si>
    <t>KC 3/20 confirmed</t>
  </si>
  <si>
    <t>IC 4/19 confirmed delivery</t>
  </si>
  <si>
    <t>AC 6/28 confirmed both days</t>
  </si>
  <si>
    <t>CB 7/25 Confirmed delivery via call</t>
  </si>
  <si>
    <t>WS - Confirmed</t>
  </si>
  <si>
    <t>DL 9/18 confirmed via call</t>
  </si>
  <si>
    <t>Confirmed by EB via GV 10/18</t>
  </si>
  <si>
    <t>11/13 DL confirmed via call</t>
  </si>
  <si>
    <t>YS 12/13 confirmed delivery</t>
  </si>
  <si>
    <t>AM voicemail and text sent 1/8</t>
  </si>
  <si>
    <t>DR confirmed via phone 1/20</t>
  </si>
  <si>
    <t>NP called. No voicemail set up left text 2/19</t>
  </si>
  <si>
    <t>SW 3/4 confirmed</t>
  </si>
  <si>
    <t>Confirmed by EB via GV 4/4</t>
  </si>
  <si>
    <t>DZ 5/1</t>
  </si>
  <si>
    <t xml:space="preserve">DR confirmed 5/13 </t>
  </si>
  <si>
    <t>AS called and confirmed 6/9</t>
  </si>
  <si>
    <t>AS called and confirmed 7/23</t>
  </si>
  <si>
    <t>EY confirmed via text 8/20</t>
  </si>
  <si>
    <t>AS called, left vm + text 9/17</t>
  </si>
  <si>
    <t>GB confirmed 10/1</t>
  </si>
  <si>
    <t>GB confirmed 10/29</t>
  </si>
  <si>
    <t>IC 11/28 confirmed delivery</t>
  </si>
  <si>
    <t>Baines, Rilla</t>
  </si>
  <si>
    <t>No</t>
  </si>
  <si>
    <t>8.4 mi</t>
  </si>
  <si>
    <t>77A54</t>
  </si>
  <si>
    <t>PL confirmed via call</t>
  </si>
  <si>
    <t>AC 9/6 confirmed delivery</t>
  </si>
  <si>
    <t>YA 10/5 confirmed for 10/7 and 10/21</t>
  </si>
  <si>
    <t>AL 11/2 left vm</t>
  </si>
  <si>
    <t>KC confirmed 11/17</t>
  </si>
  <si>
    <t>AC 12/16 confirmed delivery</t>
  </si>
  <si>
    <t>ASM confirmed 1/13 and 1/27</t>
  </si>
  <si>
    <t>Y [Daniel Lam]</t>
  </si>
  <si>
    <t>2/7 RS confirmed via call</t>
  </si>
  <si>
    <t>AS 3/5 left text + VM</t>
  </si>
  <si>
    <t xml:space="preserve">Confirmed 3/20 by Emma B via call </t>
  </si>
  <si>
    <t>Venessa Valentine (please update columns 4/20 &amp; 5/4)</t>
  </si>
  <si>
    <t>DA confirmed 05/01</t>
  </si>
  <si>
    <t>TG 5/31 confirmed via VM</t>
  </si>
  <si>
    <t>Confirmed 6/24 via GV</t>
  </si>
  <si>
    <t>WS - Confirmed Via Text</t>
  </si>
  <si>
    <t>CB 9/18 Confirmed via call</t>
  </si>
  <si>
    <t>JB- confirmed for both days; asked about her daughter Paulette Webb's deliveries - she should also be signed up for FPP</t>
  </si>
  <si>
    <t>AM confirmed by GV 1/8</t>
  </si>
  <si>
    <t>SW 2/3 confirmed</t>
  </si>
  <si>
    <t>3/5 DL confirmed via phone</t>
  </si>
  <si>
    <t>4/2 DL confirmed via call</t>
  </si>
  <si>
    <t>DL 5/1: Confirmed via call Landline number appears to be disconnected or no longer in service</t>
  </si>
  <si>
    <t>DL 5/1 confirmed via call</t>
  </si>
  <si>
    <t>EY confirmed via DMC 5/26</t>
  </si>
  <si>
    <t>DR confirmed via DMC, 6/50</t>
  </si>
  <si>
    <t>7/23 DL left vm and text</t>
  </si>
  <si>
    <t>EY confirmed via DMC 8/3</t>
  </si>
  <si>
    <t>AS called, landline disconnected, left vm + text on cell phone 9/2</t>
  </si>
  <si>
    <t>AS called and confirmed 10/15</t>
  </si>
  <si>
    <t>GB confirmed 11/12</t>
  </si>
  <si>
    <t>B48CA</t>
  </si>
  <si>
    <t>Confirmed via qualtrics</t>
  </si>
  <si>
    <t>EY confirmed via DMC (10/31)</t>
  </si>
  <si>
    <t>AC 11/28 confirmed delivery; patient was expecting a delivery a few weeks earlier in November but did not receive food; address has recently changed from 2410 Shirley Street DURHAM, NC 27705 to 1719 Palmer St Durham NC 27707</t>
  </si>
  <si>
    <t>SY 12/28 left txt + vm / 12/29 EB confirmed via GV</t>
  </si>
  <si>
    <t>CB 1/24 Confirmed delivery via text</t>
  </si>
  <si>
    <t>DC confirmed via text for 02/24 and 03/09</t>
  </si>
  <si>
    <t>SW 3/19 confirmed</t>
  </si>
  <si>
    <t>Anna Senft Miller (please update columns 4/20 &amp; 5/4)</t>
  </si>
  <si>
    <t>AC 5/1 confirmed both deliveries</t>
  </si>
  <si>
    <t>IC 5/30 left txt  vm</t>
  </si>
  <si>
    <t>IC 6/6 confirmed delivery (only for 6/8)</t>
  </si>
  <si>
    <t>WS Confirmed</t>
  </si>
  <si>
    <t>DL 7/25, Confirmed</t>
  </si>
  <si>
    <t>Emma confirmed via GV 8/23</t>
  </si>
  <si>
    <t>9/18 DL confirmed via call</t>
  </si>
  <si>
    <t xml:space="preserve">9/18 DL confirmed via call </t>
  </si>
  <si>
    <t>JB- confirmed for both days</t>
  </si>
  <si>
    <t>SW 11/13 confirmed, address changed to shirley st.</t>
  </si>
  <si>
    <t>NP called 2/5. VM left. Left text</t>
  </si>
  <si>
    <t xml:space="preserve">Confirmed by EB via GV - texted back 2/6 but we must have missed it </t>
  </si>
  <si>
    <t>DZ confirmed 3/4</t>
  </si>
  <si>
    <t>DZ 5/1 (Phone # is out of service)</t>
  </si>
  <si>
    <t>EB confirmed via GV 5/14</t>
  </si>
  <si>
    <t>EY confirmed via DMC 6/8</t>
  </si>
  <si>
    <t>CH, 9/16, confirmed</t>
  </si>
  <si>
    <t>DR confirmed 10/10</t>
  </si>
  <si>
    <t>AS 11/12 confirmed via call</t>
  </si>
  <si>
    <t>5.6 mi</t>
  </si>
  <si>
    <t xml:space="preserve">English </t>
  </si>
  <si>
    <t>EY Confirmed via Qualtrics 2/11</t>
  </si>
  <si>
    <t>DC confirmed via call 03/06 for 03/09 and 03/23</t>
  </si>
  <si>
    <t>SW 4/3 confirmed</t>
  </si>
  <si>
    <t>MB Confirmed 4/30</t>
  </si>
  <si>
    <t>YA confirmed via call 5/29</t>
  </si>
  <si>
    <t>DL 7/25,confirmed through text</t>
  </si>
  <si>
    <t>MB confirmed 9/3</t>
  </si>
  <si>
    <t xml:space="preserve">DL 10/3 called, left vm and text </t>
  </si>
  <si>
    <t>EB confirmed via GV 10/18</t>
  </si>
  <si>
    <t>DR confirmed via text 11/11</t>
  </si>
  <si>
    <t>MB confirmed 12/11</t>
  </si>
  <si>
    <t>DR confirmed via phone 1/7</t>
  </si>
  <si>
    <t>4/2 DL confirmed via text</t>
  </si>
  <si>
    <t>DR confirmed 5/13</t>
  </si>
  <si>
    <t>AS called and confirmed no delivery 7/26, YES delivery 8/9</t>
  </si>
  <si>
    <t>MS 8/20 confirmed</t>
  </si>
  <si>
    <t>IC 10/31 left txt + vm</t>
  </si>
  <si>
    <t xml:space="preserve">Mohamed, Sabah </t>
  </si>
  <si>
    <t>6.0 mi</t>
  </si>
  <si>
    <t>2AB9D</t>
  </si>
  <si>
    <t>English/Somali</t>
  </si>
  <si>
    <t>JL confirmed via call 8/24</t>
  </si>
  <si>
    <t>CM confirmed via call</t>
  </si>
  <si>
    <t>AL 10/19 left vm and text</t>
  </si>
  <si>
    <t>Zachary Glassband (please update columns 11/4 &amp; 11/18)</t>
  </si>
  <si>
    <t>DL 11/30 Confirmed delivery on phone, says apartment number changed to m7</t>
  </si>
  <si>
    <t>DL-12/27: Left VM, sent text</t>
  </si>
  <si>
    <t>ZG 1/11 left txt + vm</t>
  </si>
  <si>
    <t>NN confirmed via call 1/26</t>
  </si>
  <si>
    <t>CF left vm and text 2/20</t>
  </si>
  <si>
    <t>AC 3/18 left VM and sent text</t>
  </si>
  <si>
    <t>DA confirmed 4/1</t>
  </si>
  <si>
    <t>DA confirmed 4/17</t>
  </si>
  <si>
    <t>EY confirmed via GV 6/29</t>
  </si>
  <si>
    <t>IC 7/26 left txt + vm</t>
  </si>
  <si>
    <t>IC 8/16 confirmed delivery</t>
  </si>
  <si>
    <t>RH 8/29 left vm +Text</t>
  </si>
  <si>
    <t>RH left vm + text</t>
  </si>
  <si>
    <t>CB 9/25 Confirmed via call</t>
  </si>
  <si>
    <t>RH left vm + text 10/30</t>
  </si>
  <si>
    <t>RH Text + VM 11/13</t>
  </si>
  <si>
    <t>DR confirmed via phone 11/27</t>
  </si>
  <si>
    <t>TG 1/23 Confirmed via call</t>
  </si>
  <si>
    <t>NP confirmed via call 2/19</t>
  </si>
  <si>
    <t>SW 3/21 confirmed</t>
  </si>
  <si>
    <t>IC 5/16 left txt + vm</t>
  </si>
  <si>
    <t>DR confirmed via DMC, 6/27</t>
  </si>
  <si>
    <t>DZ 7/24 confirmed via call</t>
  </si>
  <si>
    <t>DR called and confirmed, 8/18</t>
  </si>
  <si>
    <t xml:space="preserve">DR 9/19 confirmed delivery </t>
  </si>
  <si>
    <t>IC 10/31 confirmed delivery</t>
  </si>
  <si>
    <t>AS Confirmed via call 11/28</t>
  </si>
  <si>
    <t>B**</t>
  </si>
  <si>
    <t>Burton, Steven</t>
  </si>
  <si>
    <t>Y [Ali Calloway]</t>
  </si>
  <si>
    <t>5.3 mi</t>
  </si>
  <si>
    <t>FA77D</t>
  </si>
  <si>
    <t>BL confirmed 8/22</t>
  </si>
  <si>
    <t>CB 9/21 Confirmed delivery via call</t>
  </si>
  <si>
    <t>CB 9/21 Confirmed via call</t>
  </si>
  <si>
    <t>BL confirmed via call 10/19</t>
  </si>
  <si>
    <t>ASM voicemail left at alt. phone number</t>
  </si>
  <si>
    <t>ASM confirmed 12/2 &amp; 12/16</t>
  </si>
  <si>
    <t>CB 12/27 Confirmed delivery via call</t>
  </si>
  <si>
    <t>Y [Brendan Kelleher]</t>
  </si>
  <si>
    <t>SW 1/25 confirmed</t>
  </si>
  <si>
    <t>IC 2/23 confirmed delivery</t>
  </si>
  <si>
    <t>JS 3/19: Confirmed via call</t>
  </si>
  <si>
    <t>NZ confirmed 4/17</t>
  </si>
  <si>
    <t>CB 5/15 Confirmed via call</t>
  </si>
  <si>
    <t>EB confirmed via GV call 6/14</t>
  </si>
  <si>
    <t>CB 7/10 Confirmed delivery via call</t>
  </si>
  <si>
    <t>DL 9/4 confirmed delivery via call</t>
  </si>
  <si>
    <t>RH 10/3 left vm + text</t>
  </si>
  <si>
    <t>DR texted and left VM, call failed to alt # 11/11</t>
  </si>
  <si>
    <t>CB 11/27 Confirmed via call</t>
  </si>
  <si>
    <t>SW 12/26 confirmed</t>
  </si>
  <si>
    <t>BK 1/21 confirmed via call</t>
  </si>
  <si>
    <t>BK 2/17 confirmed via call - asked for eggs</t>
  </si>
  <si>
    <t>BK 2/17 confirmed via call</t>
  </si>
  <si>
    <t>BK 3/20 confirmed via call</t>
  </si>
  <si>
    <t>BK 4/16 confirmed via call</t>
  </si>
  <si>
    <t>AC confirmed delivery 6/12</t>
  </si>
  <si>
    <t>AC called, VM not set up, left text 7/24</t>
  </si>
  <si>
    <t>CH, 8/9, confirmed (request for eggs)</t>
  </si>
  <si>
    <t>CH, 8/6, confirmed</t>
  </si>
  <si>
    <t>DR confirmed 8/19</t>
  </si>
  <si>
    <t>GB lvm, sent text 11/26</t>
  </si>
  <si>
    <t>A</t>
  </si>
  <si>
    <t>GM confirmed 10/18 and 11/1 deliveries</t>
  </si>
  <si>
    <t>NP called/ confirmed 10/30</t>
  </si>
  <si>
    <t>AS called, left vm + text 11/25</t>
  </si>
  <si>
    <t>4.6 mi</t>
  </si>
  <si>
    <t>Caucasian/White</t>
  </si>
  <si>
    <t>Vijay Anne (update columns 9/9 &amp; 9/23)</t>
  </si>
  <si>
    <t xml:space="preserve">CB 11/16 confirmed via call </t>
  </si>
  <si>
    <t>CB 11/16 confirmed via call</t>
  </si>
  <si>
    <t>MG 12/13 left voicemail and text</t>
  </si>
  <si>
    <t>BL confirmed via call 12/27</t>
  </si>
  <si>
    <t>Y [Bella Liu]</t>
  </si>
  <si>
    <t>Updated household size</t>
  </si>
  <si>
    <t>BL confirmed via text 4/17</t>
  </si>
  <si>
    <t>JB- Yes to both days</t>
  </si>
  <si>
    <t xml:space="preserve">JB - Yes to both days </t>
  </si>
  <si>
    <t>BL confirmed via text 6/12</t>
  </si>
  <si>
    <t>BL confirmed via text</t>
  </si>
  <si>
    <t xml:space="preserve">BL confirmed </t>
  </si>
  <si>
    <t>CB 9/3 Confirmed delivery via call</t>
  </si>
  <si>
    <t>BL confirmed via text 10/2</t>
  </si>
  <si>
    <t>BL confirmed via text 10/31</t>
  </si>
  <si>
    <t>BL confirmed via call 11/27</t>
  </si>
  <si>
    <t>confirmed BL 2/19</t>
  </si>
  <si>
    <t>BL confirmed via call 3/20</t>
  </si>
  <si>
    <t>BL 4/18 confirmed via text</t>
  </si>
  <si>
    <t>9.7 mi</t>
  </si>
  <si>
    <t>NM confirmed 2/5/2025</t>
  </si>
  <si>
    <t>Confirmed by EB via GV on 2/25</t>
  </si>
  <si>
    <t>AC confirmed delivery 5/13</t>
  </si>
  <si>
    <t>MB Confirmed 5/28</t>
  </si>
  <si>
    <t>BL confirmed via call 6/26</t>
  </si>
  <si>
    <t>EY confirmed via DMC 11/10</t>
  </si>
  <si>
    <t>EY confirmed via DMC 4/28</t>
  </si>
  <si>
    <t>Riggsbee Smith, Hilda</t>
  </si>
  <si>
    <t>6703F</t>
  </si>
  <si>
    <t>Black/African American, Native American</t>
  </si>
  <si>
    <t>SBA confirmed 8/10 and 8/24 deliveries</t>
  </si>
  <si>
    <t>ASM 8/23 confirmed delivery</t>
  </si>
  <si>
    <t>Nelson, Barbara</t>
  </si>
  <si>
    <t>4.4 mi</t>
  </si>
  <si>
    <t>F1B78</t>
  </si>
  <si>
    <t>AAE09</t>
  </si>
  <si>
    <t>EY skip via DMC 7/20</t>
  </si>
  <si>
    <t>EY skip via DMC 5/14</t>
  </si>
  <si>
    <t>Dunn, Nicole</t>
  </si>
  <si>
    <t>KL564</t>
  </si>
  <si>
    <t>EY confirmed via Gv 5/16</t>
  </si>
  <si>
    <t>F25C4</t>
  </si>
  <si>
    <t>SBA confirmed delivery for 4/19</t>
  </si>
  <si>
    <t>Batson, Donald</t>
  </si>
  <si>
    <t>6410A</t>
  </si>
  <si>
    <t>Skip this week</t>
  </si>
  <si>
    <t>Brown, Dona</t>
  </si>
  <si>
    <t>C4D4B</t>
  </si>
  <si>
    <t>Purefoy, Denise</t>
  </si>
  <si>
    <t>A66D7</t>
  </si>
  <si>
    <t>skip</t>
  </si>
  <si>
    <t>Matute, Keyla</t>
  </si>
  <si>
    <t>A7BB5</t>
  </si>
  <si>
    <t>Sandoval Bravo, Joseline</t>
  </si>
  <si>
    <t>7A649</t>
  </si>
  <si>
    <t xml:space="preserve">Lopez Juarez, Melany Alejandra </t>
  </si>
  <si>
    <t>Mora Albarenga, Yersin</t>
  </si>
  <si>
    <t>470C5</t>
  </si>
  <si>
    <t>Aguilar, Jean Carlos</t>
  </si>
  <si>
    <t>00B99</t>
  </si>
  <si>
    <t xml:space="preserve">Mendoza, Maite Paloma Rocha </t>
  </si>
  <si>
    <t>AC921</t>
  </si>
  <si>
    <t>Torres Climaco, Daniel</t>
  </si>
  <si>
    <t>56B5A</t>
  </si>
  <si>
    <t>7M3AR</t>
  </si>
  <si>
    <t>EY confirmed via DMC 8/14</t>
  </si>
  <si>
    <t>Confirmed</t>
  </si>
  <si>
    <t>Both</t>
  </si>
  <si>
    <t>SBA confirmed deliveries for 6/29 and 7/13</t>
  </si>
  <si>
    <t>Sanchez Flores, Merles</t>
  </si>
  <si>
    <t>4556C</t>
  </si>
  <si>
    <t>IC 7/11 left txt + vm</t>
  </si>
  <si>
    <t>Ordonez, Aleyda</t>
  </si>
  <si>
    <t>9E810</t>
  </si>
  <si>
    <t>Zacarias Orozco, Darwin</t>
  </si>
  <si>
    <t>8292Q</t>
  </si>
  <si>
    <t>Hernandez Ramirez, Christopher</t>
  </si>
  <si>
    <t>55A52</t>
  </si>
  <si>
    <t>Mejia Almazan, Gadiel</t>
  </si>
  <si>
    <t>KC confirmed 10/31</t>
  </si>
  <si>
    <t>DR called and left message/vm, 5/13</t>
  </si>
  <si>
    <t>Johnson, Harold</t>
  </si>
  <si>
    <t>DF210</t>
  </si>
  <si>
    <t>B5280</t>
  </si>
  <si>
    <t>EY confirmed via DMC 11/6</t>
  </si>
  <si>
    <t>EY confirmed via DMC 12/2</t>
  </si>
  <si>
    <t>EY confirmed via DMC 3/24</t>
  </si>
  <si>
    <t>EY confirmed via DMC 4/21</t>
  </si>
  <si>
    <t>Jones, Antonio</t>
  </si>
  <si>
    <t>A0C7C</t>
  </si>
  <si>
    <t>Dunlap, Shannon</t>
  </si>
  <si>
    <t>00C70</t>
  </si>
  <si>
    <t>Hamilton, Scott</t>
  </si>
  <si>
    <t>EY skip via DMC 2/16</t>
  </si>
  <si>
    <t>McNeil, Deangelo</t>
  </si>
  <si>
    <t>Garcia-Trujillo, Danniel</t>
  </si>
  <si>
    <t>EY confirmed via DMC 11/18</t>
  </si>
  <si>
    <t>EY confirmed via DMC 12/15</t>
  </si>
  <si>
    <t>EY confirmed via DMC 3/10</t>
  </si>
  <si>
    <t>EY confirmed via DMC 4/7</t>
  </si>
  <si>
    <t>FCAAB</t>
  </si>
  <si>
    <t>Cromah, Clara</t>
  </si>
  <si>
    <t>4BD9C</t>
  </si>
  <si>
    <t>RH confirmed via call 2/6</t>
  </si>
  <si>
    <t>George, Adam</t>
  </si>
  <si>
    <t>632F3</t>
  </si>
  <si>
    <t>Baskett, Michalle</t>
  </si>
  <si>
    <t>D9C94</t>
  </si>
  <si>
    <t>Bullock, Celia</t>
  </si>
  <si>
    <t>F01EE</t>
  </si>
  <si>
    <t xml:space="preserve">Evans, Natasha </t>
  </si>
  <si>
    <t>4.5 mi</t>
  </si>
  <si>
    <t>9407Q</t>
  </si>
  <si>
    <t>Howard, Kyra</t>
  </si>
  <si>
    <t>A6826</t>
  </si>
  <si>
    <t>AC 8/31 left VM, sent text</t>
  </si>
  <si>
    <t>5F91A</t>
  </si>
  <si>
    <t>Mack, April</t>
  </si>
  <si>
    <t>50D62</t>
  </si>
  <si>
    <t>C9A35</t>
  </si>
  <si>
    <t>Wilcher, Joshua</t>
  </si>
  <si>
    <t>BBCF3</t>
  </si>
  <si>
    <t>Oresanya, Adeyemi</t>
  </si>
  <si>
    <t>A99D5</t>
  </si>
  <si>
    <t>yes</t>
  </si>
  <si>
    <t>King, Tiffany</t>
  </si>
  <si>
    <t>2FD34</t>
  </si>
  <si>
    <t>Confirmed via GV by EB 4/3</t>
  </si>
  <si>
    <t>Leonard, Portia</t>
  </si>
  <si>
    <t>MB confirmed 10/16</t>
  </si>
  <si>
    <t>Allison, Mae</t>
  </si>
  <si>
    <t>BC560</t>
  </si>
  <si>
    <t>Hispanic</t>
  </si>
  <si>
    <t>Robison, Kris</t>
  </si>
  <si>
    <t>1548Q</t>
  </si>
  <si>
    <t>White</t>
  </si>
  <si>
    <t>Mitchell, Cheryl</t>
  </si>
  <si>
    <t>D6C41</t>
  </si>
  <si>
    <t>CB 8/21 Confirmed delivery via call</t>
  </si>
  <si>
    <t>NEWLY ENROLLED</t>
  </si>
  <si>
    <t xml:space="preserve">Dash, Sheritha </t>
  </si>
  <si>
    <t>0BF4A</t>
  </si>
  <si>
    <t>Vasquez-Perkins, Tahlia</t>
  </si>
  <si>
    <t>91FB9</t>
  </si>
  <si>
    <t>Clayton, Joseph</t>
  </si>
  <si>
    <t>1DEB7</t>
  </si>
  <si>
    <t>A8675</t>
  </si>
  <si>
    <t>EY confirmed via DMC 11/4</t>
  </si>
  <si>
    <t>EY confirmed via DMC 2/24</t>
  </si>
  <si>
    <t>EY confirmed via DMC 5/18</t>
  </si>
  <si>
    <t>EY confirmed via DMC 6/15</t>
  </si>
  <si>
    <t>Lipscomb, I'oneice</t>
  </si>
  <si>
    <t>4463E</t>
  </si>
  <si>
    <t>McMillan, Yolonda</t>
  </si>
  <si>
    <t>DF271</t>
  </si>
  <si>
    <t>DR confirmed, 4/1</t>
  </si>
  <si>
    <t>7/24 DL confirmed via text</t>
  </si>
  <si>
    <t>EB confirmed via call 6/13</t>
  </si>
  <si>
    <t>Thornton, Harold</t>
  </si>
  <si>
    <t>A8723</t>
  </si>
  <si>
    <t>TG 7/23 Left voicemail &amp; sent text</t>
  </si>
  <si>
    <t>Daniels, Ronnie</t>
  </si>
  <si>
    <t>9B414</t>
  </si>
  <si>
    <t>B3CE2</t>
  </si>
  <si>
    <t>EY confirmed via call 10/14</t>
  </si>
  <si>
    <t>Dodson, Peggy</t>
  </si>
  <si>
    <t>FD45B</t>
  </si>
  <si>
    <t>CB 12/10 Confirmed delivery via call</t>
  </si>
  <si>
    <t>EY confirmed via DMC 8/11</t>
  </si>
  <si>
    <t>Chevez Gonzales, Zaid Alessandro</t>
  </si>
  <si>
    <t>49Q85</t>
  </si>
  <si>
    <t>Erazo, Sandra</t>
  </si>
  <si>
    <t>0BDFF</t>
  </si>
  <si>
    <t>Garcia Platero, Jorge</t>
  </si>
  <si>
    <t>522CA</t>
  </si>
  <si>
    <t>Navarro Ramos, Oliver</t>
  </si>
  <si>
    <t>2859R</t>
  </si>
  <si>
    <t>Reynoso Vaquera, Kattie D.</t>
  </si>
  <si>
    <t>4BC36</t>
  </si>
  <si>
    <t xml:space="preserve">Velasquez-Velas, Andy Javier </t>
  </si>
  <si>
    <t>1DBE1</t>
  </si>
  <si>
    <t>Perez, Caleb</t>
  </si>
  <si>
    <t>3.7 mi</t>
  </si>
  <si>
    <t>Medina Mejia, Carmen</t>
  </si>
  <si>
    <t>7881Q</t>
  </si>
  <si>
    <t>Salgado-Castilo, Yessenia</t>
  </si>
  <si>
    <t>7DE8D</t>
  </si>
  <si>
    <t xml:space="preserve">NM confirmed 4/23 for 5/3 delivery </t>
  </si>
  <si>
    <t xml:space="preserve">Estela Ventura, Luz </t>
  </si>
  <si>
    <t>8106Q</t>
  </si>
  <si>
    <t>Sanchez, Oliveros</t>
  </si>
  <si>
    <t>D1846</t>
  </si>
  <si>
    <t>Barrera, Fatima</t>
  </si>
  <si>
    <t>30D5A</t>
  </si>
  <si>
    <t>Pagoada, Sebastian</t>
  </si>
  <si>
    <t>4CDEC</t>
  </si>
  <si>
    <t>Barrera, Dolores N</t>
  </si>
  <si>
    <t>3E5E0</t>
  </si>
  <si>
    <t xml:space="preserve">Murillo Acosta, Nuvia Alicia </t>
  </si>
  <si>
    <t>5F170</t>
  </si>
  <si>
    <t>Rosales-Funez, Erick Menelio</t>
  </si>
  <si>
    <t>F0388</t>
  </si>
  <si>
    <t>YES</t>
  </si>
  <si>
    <t>SBA confirmed for 11/2 and 11/16 deliveries</t>
  </si>
  <si>
    <t>27D9E</t>
  </si>
  <si>
    <t xml:space="preserve">Rodriguez Escobar, Isabel Reyna </t>
  </si>
  <si>
    <t>6C62E</t>
  </si>
  <si>
    <t>Rocha, Alejandro</t>
  </si>
  <si>
    <t>BBBA0</t>
  </si>
  <si>
    <t>Flores Escobar, Nelson</t>
  </si>
  <si>
    <t>E2A88</t>
  </si>
  <si>
    <t>Hernandez, Rodriguez, Yael</t>
  </si>
  <si>
    <t>BBEA6</t>
  </si>
  <si>
    <t>B9258</t>
  </si>
  <si>
    <t>Polanco, Jasmin</t>
  </si>
  <si>
    <t>Daleyza, Ramirez Perez</t>
  </si>
  <si>
    <t>3B944</t>
  </si>
  <si>
    <t>Aguilara, Mia</t>
  </si>
  <si>
    <t>C4483</t>
  </si>
  <si>
    <t>Ortiz Lopez, Maribel</t>
  </si>
  <si>
    <t>D9D18</t>
  </si>
  <si>
    <t>EY confirmed via DMC 7/29</t>
  </si>
  <si>
    <t>EY confirmed via DMC 9/8</t>
  </si>
  <si>
    <t>EY confirmed via DMC 10/5</t>
  </si>
  <si>
    <t>Coca, Aracely</t>
  </si>
  <si>
    <t>7CF53</t>
  </si>
  <si>
    <t xml:space="preserve">Aguiriano Hernandez, Norma </t>
  </si>
  <si>
    <t>DE0DF</t>
  </si>
  <si>
    <t>Clemente-Yanez, Noel</t>
  </si>
  <si>
    <t>9ED91</t>
  </si>
  <si>
    <t>NM confirmed for 1/25</t>
  </si>
  <si>
    <t>MS 6/26 out of town</t>
  </si>
  <si>
    <t>GB - they will not be here 9/20, would like to skip 10/4 as well</t>
  </si>
  <si>
    <t>GB - they will not be here 10/4, open to next deliveries though</t>
  </si>
  <si>
    <t>GB confirmed skip 10/29</t>
  </si>
  <si>
    <t>GB skip this week, would like produce in the future 11/26</t>
  </si>
  <si>
    <t>Silva Martinez, Alex</t>
  </si>
  <si>
    <t>359CA</t>
  </si>
  <si>
    <t>Left voicemail</t>
  </si>
  <si>
    <t>N/A</t>
  </si>
  <si>
    <t>Owes, Eloise</t>
  </si>
  <si>
    <t>AC 5/6 confirmed delivery both dates</t>
  </si>
  <si>
    <t>SW 9/26 confirmed</t>
  </si>
  <si>
    <t>DR confirmed via text 10/23</t>
  </si>
  <si>
    <t>EY confirmed via DMC 9/22</t>
  </si>
  <si>
    <t>Mason, Kapalua</t>
  </si>
  <si>
    <t>0ADA0</t>
  </si>
  <si>
    <t>Cameron, Patricia</t>
  </si>
  <si>
    <t>98C51</t>
  </si>
  <si>
    <t>Stroud, Francine</t>
  </si>
  <si>
    <t>Phone not in service</t>
  </si>
  <si>
    <t>E9F90</t>
  </si>
  <si>
    <t>EY confirmed via DMC 1/13</t>
  </si>
  <si>
    <t>Herron, Jayda</t>
  </si>
  <si>
    <t>C3D7E</t>
  </si>
  <si>
    <t>EY confirmed via DMC 6/30</t>
  </si>
  <si>
    <t>EY confirmed via DMC 8/25</t>
  </si>
  <si>
    <t>Virginia Lucke</t>
  </si>
  <si>
    <t>EE870</t>
  </si>
  <si>
    <t>CF confirmed 10/10</t>
  </si>
  <si>
    <t>EY confirmed via DMC 7/13</t>
  </si>
  <si>
    <t>Latta, Kamron</t>
  </si>
  <si>
    <t>6Q184</t>
  </si>
  <si>
    <t>Taborn, Preston</t>
  </si>
  <si>
    <t>3D8CA</t>
  </si>
  <si>
    <t>AK confirmed 6/5/24</t>
  </si>
  <si>
    <t>AC confirmed delivery 6/4</t>
  </si>
  <si>
    <t>Lawson, Archie</t>
  </si>
  <si>
    <t>AAB5B</t>
  </si>
  <si>
    <t>Confirmed by EB 7/4</t>
  </si>
  <si>
    <t>Thompson, Helen</t>
  </si>
  <si>
    <t>DL 5/8 confirmed via call</t>
  </si>
  <si>
    <t>Scott, Joseph</t>
  </si>
  <si>
    <t>4C309</t>
  </si>
  <si>
    <t>CH, 10/20, confirmed</t>
  </si>
  <si>
    <t>CH, 11/17, confirmed</t>
  </si>
  <si>
    <t>Deese, Marcus</t>
  </si>
  <si>
    <t>27B39</t>
  </si>
  <si>
    <t>Haley, James</t>
  </si>
  <si>
    <t>Maria Oliva Abarca</t>
  </si>
  <si>
    <t>Mcdowell, Tommie</t>
  </si>
  <si>
    <t>FED2C</t>
  </si>
  <si>
    <t>SW 8/29 confirmed</t>
  </si>
  <si>
    <t>Holloway, Juanita</t>
  </si>
  <si>
    <t>0D35C</t>
  </si>
  <si>
    <t>Davis, Fred</t>
  </si>
  <si>
    <t>75A33</t>
  </si>
  <si>
    <t xml:space="preserve">IC 8/1 confirmed delivery </t>
  </si>
  <si>
    <t>Clark, Kenneth</t>
  </si>
  <si>
    <t>D2304</t>
  </si>
  <si>
    <t>Kincaid, Rita</t>
  </si>
  <si>
    <t>3BB5E</t>
  </si>
  <si>
    <t>Confirmed via phone  1/17/2024</t>
  </si>
  <si>
    <t>AC 2/27 confirmed delivery</t>
  </si>
  <si>
    <t>DL 3/28 confirmed on text</t>
  </si>
  <si>
    <t>DR 9/10 confirmed by phone</t>
  </si>
  <si>
    <t xml:space="preserve">Holloway, Masaiah Jaiu Qu </t>
  </si>
  <si>
    <t>EC6DB</t>
  </si>
  <si>
    <t>Jones, James</t>
  </si>
  <si>
    <t>E6D28</t>
  </si>
  <si>
    <t>MB confirmed 10/7</t>
  </si>
  <si>
    <t>Graham, Marilyn</t>
  </si>
  <si>
    <t>3FE07</t>
  </si>
  <si>
    <t>JB- confirmed for both dates</t>
  </si>
  <si>
    <t xml:space="preserve">JB - confirmed for both dates </t>
  </si>
  <si>
    <t>Green, Linda</t>
  </si>
  <si>
    <t>9543Q</t>
  </si>
  <si>
    <t>C6F5F</t>
  </si>
  <si>
    <t>Palmer, Karika</t>
  </si>
  <si>
    <t>09D61</t>
  </si>
  <si>
    <t>SW 8/29 left vm + text</t>
  </si>
  <si>
    <t>Coppedge, Hilda</t>
  </si>
  <si>
    <t>7598B</t>
  </si>
  <si>
    <t>87C48</t>
  </si>
  <si>
    <t>NZ confirmed 4/11</t>
  </si>
  <si>
    <t>Bass, Zelda</t>
  </si>
  <si>
    <t>D1A4E</t>
  </si>
  <si>
    <t>Mims, Billy</t>
  </si>
  <si>
    <t>56BEF</t>
  </si>
  <si>
    <t>Higgins, Tiffany</t>
  </si>
  <si>
    <t>D28B3</t>
  </si>
  <si>
    <t>Lee, Sheila</t>
  </si>
  <si>
    <t>2796Q</t>
  </si>
  <si>
    <t>ASM confirmed 3/16 &amp; 3/30</t>
  </si>
  <si>
    <t xml:space="preserve">Horton, Kameron Thomas </t>
  </si>
  <si>
    <t>58C94</t>
  </si>
  <si>
    <t>EP 1/17 confirmed via text</t>
  </si>
  <si>
    <t>Wynn, Samantha</t>
  </si>
  <si>
    <t>46C12</t>
  </si>
  <si>
    <t>Henry, Linda</t>
  </si>
  <si>
    <t>FB04F</t>
  </si>
  <si>
    <t>Upchurch Walters, Shirlyn</t>
  </si>
  <si>
    <t>7FD86</t>
  </si>
  <si>
    <t>Mulzac, Zacchaeus</t>
  </si>
  <si>
    <t>Galban, Brenda</t>
  </si>
  <si>
    <t>495D5</t>
  </si>
  <si>
    <t>Wilson, Brandon</t>
  </si>
  <si>
    <t>8D4DE</t>
  </si>
  <si>
    <t>AC 8/31 confirmed delivery</t>
  </si>
  <si>
    <t>Pearson, Stephanie</t>
  </si>
  <si>
    <t>E91E8</t>
  </si>
  <si>
    <t>Williams, Annie</t>
  </si>
  <si>
    <t>A8942</t>
  </si>
  <si>
    <t>CH, 11/3, confirmed both dates</t>
  </si>
  <si>
    <t>Holder, Darin</t>
  </si>
  <si>
    <t>A6B38</t>
  </si>
  <si>
    <t>Smith, Annette</t>
  </si>
  <si>
    <t>BD364</t>
  </si>
  <si>
    <t xml:space="preserve">Black/African American </t>
  </si>
  <si>
    <t>Lee, Madelene</t>
  </si>
  <si>
    <t>9411B</t>
  </si>
  <si>
    <t>Gray, JahQurious S</t>
  </si>
  <si>
    <t>FF76F</t>
  </si>
  <si>
    <t>SW 1/30 confirmed</t>
  </si>
  <si>
    <t>American Indian or Alaska Native</t>
  </si>
  <si>
    <t>KD confirmed 2/15 and 3/1</t>
  </si>
  <si>
    <t>Lee, Dorthy</t>
  </si>
  <si>
    <t>5CF3F</t>
  </si>
  <si>
    <t>Garrett, Roy</t>
  </si>
  <si>
    <t>4E510</t>
  </si>
  <si>
    <t>3382R</t>
  </si>
  <si>
    <t>Hudson, Michael</t>
  </si>
  <si>
    <t>A5CEB</t>
  </si>
  <si>
    <t>McClain, Faye</t>
  </si>
  <si>
    <t>E7493</t>
  </si>
  <si>
    <t>MB confirmed 1/1</t>
  </si>
  <si>
    <t>African American</t>
  </si>
  <si>
    <t>2EC33</t>
  </si>
  <si>
    <t>Miles, Vernon L</t>
  </si>
  <si>
    <t>12D89</t>
  </si>
  <si>
    <t>Padilla, Brian</t>
  </si>
  <si>
    <t>5733Q</t>
  </si>
  <si>
    <t>CM confirmed via text</t>
  </si>
  <si>
    <t>de la Joya Hernandez, Mateo</t>
  </si>
  <si>
    <t>7Q016</t>
  </si>
  <si>
    <t>Diaz, Karla</t>
  </si>
  <si>
    <t>Meza, Gricela</t>
  </si>
  <si>
    <t>879D9</t>
  </si>
  <si>
    <t>Cruz Umanzor, Carla</t>
  </si>
  <si>
    <t>00E9E</t>
  </si>
  <si>
    <t xml:space="preserve">Alarcon, Blanca </t>
  </si>
  <si>
    <t>B35FB</t>
  </si>
  <si>
    <t>Lopez, Hermelinda Elmes</t>
  </si>
  <si>
    <t>3B671</t>
  </si>
  <si>
    <t>Padilla, Llury</t>
  </si>
  <si>
    <t>5AE3A</t>
  </si>
  <si>
    <t>94C46</t>
  </si>
  <si>
    <t>Pacheco, Dolores</t>
  </si>
  <si>
    <t>3390Q</t>
  </si>
  <si>
    <t>Jaen Giron, Dylan Ivan</t>
  </si>
  <si>
    <t>1383E</t>
  </si>
  <si>
    <t>Mendez Apolonio, Christopher</t>
  </si>
  <si>
    <t>385DA</t>
  </si>
  <si>
    <t>Melgar, Sandra</t>
  </si>
  <si>
    <t>68B4C</t>
  </si>
  <si>
    <t>Lopez, Esteysi Fuentes</t>
  </si>
  <si>
    <t>9F593</t>
  </si>
  <si>
    <t>Diaz, Denis Yesid</t>
  </si>
  <si>
    <t>C6FD2</t>
  </si>
  <si>
    <t>Perez Ibaria, Maria del Rosario</t>
  </si>
  <si>
    <t>D9B0F</t>
  </si>
  <si>
    <t>Calderon Vidal, Christian</t>
  </si>
  <si>
    <t>5C421</t>
  </si>
  <si>
    <t>Mejia Juarez, Kimberly</t>
  </si>
  <si>
    <t>6AE31</t>
  </si>
  <si>
    <t>Andino Bustillo, Natalie</t>
  </si>
  <si>
    <t>C236D</t>
  </si>
  <si>
    <t>Rodriguez Sanchez, Carlos</t>
  </si>
  <si>
    <t>FAF2F</t>
  </si>
  <si>
    <t>Pina Rangel, Yahir</t>
  </si>
  <si>
    <t>Joseph Ramos Armenta</t>
  </si>
  <si>
    <t>DCF7C</t>
  </si>
  <si>
    <t xml:space="preserve">Barrera Rojas, Maria </t>
  </si>
  <si>
    <t>22D0D</t>
  </si>
  <si>
    <t>Duarte, Soraya</t>
  </si>
  <si>
    <t>Garcia, Iasias</t>
  </si>
  <si>
    <t>493A0</t>
  </si>
  <si>
    <t>Martinez Alvarado, Melany</t>
  </si>
  <si>
    <t>1D6AF</t>
  </si>
  <si>
    <t>Gutierrez, Steven</t>
  </si>
  <si>
    <t>Jose Zavala</t>
  </si>
  <si>
    <t>DBAF1</t>
  </si>
  <si>
    <t xml:space="preserve">Vazquez Cristo, Derek </t>
  </si>
  <si>
    <t>Tecomulapa-Tejeda, Rosalino</t>
  </si>
  <si>
    <t>54C13</t>
  </si>
  <si>
    <t>Gomez, Liseth</t>
  </si>
  <si>
    <t>E2872</t>
  </si>
  <si>
    <t xml:space="preserve">Rojas Garcia, Kevin Ivan </t>
  </si>
  <si>
    <t>6839Q</t>
  </si>
  <si>
    <t>Mejia, Suleyda</t>
  </si>
  <si>
    <t>3742Q</t>
  </si>
  <si>
    <t>Castro-Barboza, Alejandrina</t>
  </si>
  <si>
    <t>6D3EA</t>
  </si>
  <si>
    <t>Luna Garcia, Angie</t>
  </si>
  <si>
    <t>0C763</t>
  </si>
  <si>
    <t xml:space="preserve">Salgado Cruz, Edison </t>
  </si>
  <si>
    <t>Aguilar, Ian Mateo</t>
  </si>
  <si>
    <t>565TR</t>
  </si>
  <si>
    <t>Yordy, Martinez</t>
  </si>
  <si>
    <t>Xoyoquila, Yolanda Abraham</t>
  </si>
  <si>
    <t>957YT</t>
  </si>
  <si>
    <t>Lemus, Josabet</t>
  </si>
  <si>
    <t>57ABF</t>
  </si>
  <si>
    <t>Lopez Torres, Susana</t>
  </si>
  <si>
    <t>2D301</t>
  </si>
  <si>
    <t>Perez Zamor, Arleth Judith</t>
  </si>
  <si>
    <t>FE220</t>
  </si>
  <si>
    <t>Ramos Ramos, Maria</t>
  </si>
  <si>
    <t>6B6B6</t>
  </si>
  <si>
    <t>Santigo Hernandez, Zahira</t>
  </si>
  <si>
    <t>Quiquivix-Duenas, Senovio</t>
  </si>
  <si>
    <t>C39E8</t>
  </si>
  <si>
    <t xml:space="preserve">DL 10/15 confirmed via call </t>
  </si>
  <si>
    <t>CB 12/10 Confirmed delivery via text</t>
  </si>
  <si>
    <t>Confirmed by EB via GV 5/1</t>
  </si>
  <si>
    <t>DR confirmed via DMC, 6/52</t>
  </si>
  <si>
    <t>EY pause deliveries for now (staying at DRM)</t>
  </si>
  <si>
    <t>AS called, confirmed pt in shelter and interested in checking in every few months</t>
  </si>
  <si>
    <t>KT left VM 8/10</t>
  </si>
  <si>
    <t>Confirmed by EY 9/22</t>
  </si>
  <si>
    <t>MG 12/6 left voicemail and text</t>
  </si>
  <si>
    <t>ZG left vm 12/21</t>
  </si>
  <si>
    <t>2/14 DL: Confirmed through text</t>
  </si>
  <si>
    <t>BL sent text and vm 4/25</t>
  </si>
  <si>
    <t xml:space="preserve">CB 6/5 Confirmed via text; pt confirmed address is correct </t>
  </si>
  <si>
    <t>DL 5/8 Confirmed via call</t>
  </si>
  <si>
    <t>Perry, Cana</t>
  </si>
  <si>
    <t>BK 9/14 left vm</t>
  </si>
  <si>
    <t>AC 9/26 confirmed delivery</t>
  </si>
  <si>
    <t>EP 10/26:confirmed, only wants on 10/28 not 11/11</t>
  </si>
  <si>
    <t>RS 11/23: confirmed via call</t>
  </si>
  <si>
    <t xml:space="preserve">Called on 12/21 and confirmed via text. </t>
  </si>
  <si>
    <t>MG 5/10 No delivery this month</t>
  </si>
  <si>
    <t>DISCONTINUED SERVICES</t>
  </si>
  <si>
    <t>King, Teresa</t>
  </si>
  <si>
    <t>8LO87</t>
  </si>
  <si>
    <t>Leonard, Leanne</t>
  </si>
  <si>
    <t>793FF</t>
  </si>
  <si>
    <t xml:space="preserve">Lopez, Skyla Shanese </t>
  </si>
  <si>
    <t>Hester, Amir</t>
  </si>
  <si>
    <t>8150F</t>
  </si>
  <si>
    <t>EY skip via DMC 12/9</t>
  </si>
  <si>
    <t>McDuffie, Antoinette</t>
  </si>
  <si>
    <t>DA362</t>
  </si>
  <si>
    <t>Shaw, Abraham</t>
  </si>
  <si>
    <t>4F5D5</t>
  </si>
  <si>
    <t>Thompson, Shelia</t>
  </si>
  <si>
    <t>5445Q</t>
  </si>
  <si>
    <t>Ryan, James</t>
  </si>
  <si>
    <t>Haitian Creole</t>
  </si>
  <si>
    <t xml:space="preserve">skip  </t>
  </si>
  <si>
    <t>01/8 DL Confirmed via phone</t>
  </si>
  <si>
    <t>DZ 5/1 left text</t>
  </si>
  <si>
    <t>SW 5/27 left vm + texted</t>
  </si>
  <si>
    <t>MS 8/20 not interested</t>
  </si>
  <si>
    <t>EN 9/17 confirmed via text</t>
  </si>
  <si>
    <t xml:space="preserve">EN 9/17 confirmed via text </t>
  </si>
  <si>
    <t>EY skip via DMC 12/9 -- Call</t>
  </si>
  <si>
    <t>01/8 DL, left text and vm</t>
  </si>
  <si>
    <t>AC NO DELIVERY 5/13</t>
  </si>
  <si>
    <t>CALL AFTER HAMMOND</t>
  </si>
  <si>
    <t>Follow-up see if we can support</t>
  </si>
  <si>
    <t>AS called and confirmed maybe 11/25</t>
  </si>
  <si>
    <t>67A42</t>
  </si>
  <si>
    <t>Smith, Asia</t>
  </si>
  <si>
    <t>493Q8</t>
  </si>
  <si>
    <t>ASM confirmed 8/10 &amp; 8/24</t>
  </si>
  <si>
    <t>Adams, Leon</t>
  </si>
  <si>
    <t>REU73</t>
  </si>
  <si>
    <t>CB 11/29 Confirmed delivery on phone</t>
  </si>
  <si>
    <t>DL- 12/27: confirmed on text</t>
  </si>
  <si>
    <t>TG 2/22 Sent text - SKIP</t>
  </si>
  <si>
    <t>TG 3/6 Voicemail unavailable, sent text</t>
  </si>
  <si>
    <t>IC 3/22 left txt + vm</t>
  </si>
  <si>
    <t>NEEDS 5/11 DELIVERY - 5/4 DELIVERY MISSED</t>
  </si>
  <si>
    <t xml:space="preserve">EB confirmed via call </t>
  </si>
  <si>
    <t>DL 10/3 left vm and text</t>
  </si>
  <si>
    <t>DR texted and left VM 11/11</t>
  </si>
  <si>
    <t>MS 4/16 confirmed delivery</t>
  </si>
  <si>
    <t>DL 6/12 confirmed via call</t>
  </si>
  <si>
    <t>CH, 9/16 Number not set up</t>
  </si>
  <si>
    <t>AC left vm + text 05/27</t>
  </si>
  <si>
    <t>SW 6/12 left vm + text</t>
  </si>
  <si>
    <t>DZ 7/24 left text, phone # cannot be dialed</t>
  </si>
  <si>
    <t>CH, 8/4, Sent a text, 8/6 called and number "could not be dialed"</t>
  </si>
  <si>
    <t>CH, 8/4, Sent a text</t>
  </si>
  <si>
    <t>AC called and left text (number not in service) 6/12</t>
  </si>
  <si>
    <t>IC 6/27 left txt + vm (number not in service)</t>
  </si>
  <si>
    <t>AS number not in service 7/9</t>
  </si>
  <si>
    <t>Holland, Thaddeus</t>
  </si>
  <si>
    <t>A7344</t>
  </si>
  <si>
    <t>Jones-Taylor, Barbara</t>
  </si>
  <si>
    <t>Morris, Alarice</t>
  </si>
  <si>
    <t>C00F9</t>
  </si>
  <si>
    <t>Rogers-cates, Kourtney</t>
  </si>
  <si>
    <t>71C43</t>
  </si>
  <si>
    <t>Mayorquin Martinez, Jocelyn</t>
  </si>
  <si>
    <t>6D48F</t>
  </si>
  <si>
    <t xml:space="preserve">Rangel, Cecilia Gasca </t>
  </si>
  <si>
    <t>50Q86</t>
  </si>
  <si>
    <t>F4FB3</t>
  </si>
  <si>
    <t>8ABA7</t>
  </si>
  <si>
    <t>Corona Hernandez, Matthew</t>
  </si>
  <si>
    <t>Godinez Arellano, Catalina</t>
  </si>
  <si>
    <t>674BE</t>
  </si>
  <si>
    <t>Upchurch, Melvin</t>
  </si>
  <si>
    <t>Lizano Perdono, Yaquelin</t>
  </si>
  <si>
    <t>Stephanie Coppedge</t>
  </si>
  <si>
    <t>Age$</t>
  </si>
  <si>
    <t>#</t>
  </si>
  <si>
    <t>%</t>
  </si>
  <si>
    <t xml:space="preserve">Avg Age </t>
  </si>
  <si>
    <t>Latino/Latina</t>
  </si>
  <si>
    <t>Below 18</t>
  </si>
  <si>
    <t>65 and up</t>
  </si>
  <si>
    <t>Total ages available*</t>
  </si>
  <si>
    <t xml:space="preserve">Total count </t>
  </si>
  <si>
    <t>*We're missing this data from about half of participants</t>
  </si>
  <si>
    <t>Black/Afreican American</t>
  </si>
  <si>
    <t>LatinX</t>
  </si>
  <si>
    <t>Latinx.White</t>
  </si>
  <si>
    <t>Latinx</t>
  </si>
  <si>
    <t>Latino/a</t>
  </si>
  <si>
    <t>others</t>
  </si>
  <si>
    <t>Asian/Asian American</t>
  </si>
  <si>
    <t xml:space="preserve">Latinx </t>
  </si>
  <si>
    <t>Ratcliffe, Lillyan</t>
  </si>
  <si>
    <t>McNeil, Linda</t>
  </si>
  <si>
    <t>0F0C0</t>
  </si>
  <si>
    <t>Stancil, Jalen</t>
  </si>
  <si>
    <t>Gonzalez Olivia, Melanie</t>
  </si>
  <si>
    <t>Reynolds, Michael Q Jr.</t>
  </si>
  <si>
    <t>B4CA4</t>
  </si>
  <si>
    <t>Burroughs, Indigo</t>
  </si>
  <si>
    <t>297D5</t>
  </si>
  <si>
    <t>47CF3</t>
  </si>
  <si>
    <t>Wearing, Tawanna</t>
  </si>
  <si>
    <t>9BF11</t>
  </si>
  <si>
    <t>99DC1</t>
  </si>
  <si>
    <t>20F83</t>
  </si>
  <si>
    <t>Price, Ava Breana</t>
  </si>
  <si>
    <t>7087C</t>
  </si>
  <si>
    <t>Jones, Sasha Pass</t>
  </si>
  <si>
    <t>D552C</t>
  </si>
  <si>
    <t>Salguero, Lizino (Mother's name Maria)</t>
  </si>
  <si>
    <t>785C1</t>
  </si>
  <si>
    <t>C34FA</t>
  </si>
  <si>
    <t>Thompson, Patrice</t>
  </si>
  <si>
    <t>7C99D</t>
  </si>
  <si>
    <t xml:space="preserve">McQueen, Enrico </t>
  </si>
  <si>
    <t>BBE9F</t>
  </si>
  <si>
    <t>Presnell, Teresa</t>
  </si>
  <si>
    <t>64D8D</t>
  </si>
  <si>
    <t>Wright, Charles</t>
  </si>
  <si>
    <t>C0610</t>
  </si>
  <si>
    <t>Thompson, Robert</t>
  </si>
  <si>
    <t>ECCB0</t>
  </si>
  <si>
    <t>Watkins,Clementine</t>
  </si>
  <si>
    <t>CAECC</t>
  </si>
  <si>
    <t>Rivas Martinez,Jose</t>
  </si>
  <si>
    <t>D77CA</t>
  </si>
  <si>
    <t>Richard, Riley</t>
  </si>
  <si>
    <t>E2030</t>
  </si>
  <si>
    <t>Mohammed,Ala</t>
  </si>
  <si>
    <t>5236C</t>
  </si>
  <si>
    <t xml:space="preserve">Padilla, Rolando </t>
  </si>
  <si>
    <t>A3A07</t>
  </si>
  <si>
    <t>Burton, Gloria</t>
  </si>
  <si>
    <t>947BA</t>
  </si>
  <si>
    <t>McGhee, James</t>
  </si>
  <si>
    <t>A9732</t>
  </si>
  <si>
    <t>Gaita Vasquez, Raul</t>
  </si>
  <si>
    <t>4692F</t>
  </si>
  <si>
    <t>Jefferson, Pamela</t>
  </si>
  <si>
    <t>91F47</t>
  </si>
  <si>
    <t>Stephens, Michael</t>
  </si>
  <si>
    <t>028EE</t>
  </si>
  <si>
    <t>Williams, Callie</t>
  </si>
  <si>
    <t>5EAAC</t>
  </si>
  <si>
    <t>Defendini, Carmen</t>
  </si>
  <si>
    <t>7C3AF</t>
  </si>
  <si>
    <t>Jones, Gloria</t>
  </si>
  <si>
    <t>25A25</t>
  </si>
  <si>
    <t>Farrington, Anita</t>
  </si>
  <si>
    <t>EDE14</t>
  </si>
  <si>
    <t>Thomas, Karlyn</t>
  </si>
  <si>
    <t>514F6</t>
  </si>
  <si>
    <t>Patrice Thompson (duplicated)</t>
  </si>
  <si>
    <t>CE784</t>
  </si>
  <si>
    <t>Parker, Anthony B</t>
  </si>
  <si>
    <t>Paylor, Rosandra</t>
  </si>
  <si>
    <t>7238E</t>
  </si>
  <si>
    <t>Lucke, Virginia (duplicated row)</t>
  </si>
  <si>
    <t>D5F2C</t>
  </si>
  <si>
    <t>Cockerham, Shirley</t>
  </si>
  <si>
    <t>7AA24</t>
  </si>
  <si>
    <t>Digilio, Michael</t>
  </si>
  <si>
    <t>1A243</t>
  </si>
  <si>
    <t>Worm, Leslie</t>
  </si>
  <si>
    <t>47FD6</t>
  </si>
  <si>
    <t>Wooten, Christopher</t>
  </si>
  <si>
    <t>5734B</t>
  </si>
  <si>
    <t>William, Fletcher</t>
  </si>
  <si>
    <t>9424H</t>
  </si>
  <si>
    <t>West, Debra</t>
  </si>
  <si>
    <t>CB5D7</t>
  </si>
  <si>
    <t xml:space="preserve">Warren, Sharia </t>
  </si>
  <si>
    <t>00Q94</t>
  </si>
  <si>
    <t>St. Pierre, Margaret</t>
  </si>
  <si>
    <t>FEB9F</t>
  </si>
  <si>
    <t>Smith, Teresa</t>
  </si>
  <si>
    <t>5394A</t>
  </si>
  <si>
    <t>Smith, Cleveland</t>
  </si>
  <si>
    <t>3D20B</t>
  </si>
  <si>
    <t>Shephard, Katrina</t>
  </si>
  <si>
    <t>D3003</t>
  </si>
  <si>
    <t>Shakir D William</t>
  </si>
  <si>
    <t>68AE9</t>
  </si>
  <si>
    <t>Scott, Reginald</t>
  </si>
  <si>
    <t>A4A2D</t>
  </si>
  <si>
    <t>Rodriguez, Rosie</t>
  </si>
  <si>
    <t>32FFC</t>
  </si>
  <si>
    <t xml:space="preserve">Roberts, Anna M. </t>
  </si>
  <si>
    <t>E7A33</t>
  </si>
  <si>
    <t>Riddle, Penny</t>
  </si>
  <si>
    <t>A268F</t>
  </si>
  <si>
    <t>Porter, Ronnie</t>
  </si>
  <si>
    <t>F2CA5</t>
  </si>
  <si>
    <t>Pineda, Elba</t>
  </si>
  <si>
    <t>BB2F3</t>
  </si>
  <si>
    <t>Peterson, David</t>
  </si>
  <si>
    <t>07AE0</t>
  </si>
  <si>
    <t>Paylor, Wayne</t>
  </si>
  <si>
    <t>3CDCE</t>
  </si>
  <si>
    <t>Odom, Robert</t>
  </si>
  <si>
    <t>5A068</t>
  </si>
  <si>
    <t>Newman, Paul</t>
  </si>
  <si>
    <t>7C16F</t>
  </si>
  <si>
    <t>McNeil, John</t>
  </si>
  <si>
    <t>A954C</t>
  </si>
  <si>
    <t>McNeil, Jermall</t>
  </si>
  <si>
    <t>4DFB9</t>
  </si>
  <si>
    <t xml:space="preserve">McMillon, Rhonda </t>
  </si>
  <si>
    <t>8DD76</t>
  </si>
  <si>
    <t xml:space="preserve">McCoy, Samuel </t>
  </si>
  <si>
    <t>962CE</t>
  </si>
  <si>
    <t>McClain, Sandra</t>
  </si>
  <si>
    <t>4736Q</t>
  </si>
  <si>
    <t>Machen, Arlene</t>
  </si>
  <si>
    <t>6FF92</t>
  </si>
  <si>
    <t>Love, Gladys</t>
  </si>
  <si>
    <t>90A7A</t>
  </si>
  <si>
    <t>9112A</t>
  </si>
  <si>
    <t>Jones, Latisha</t>
  </si>
  <si>
    <t>BF6A4</t>
  </si>
  <si>
    <t xml:space="preserve">Jones, Deloris </t>
  </si>
  <si>
    <t>8DCCF</t>
  </si>
  <si>
    <t>Johnson, Norman</t>
  </si>
  <si>
    <t>4849C</t>
  </si>
  <si>
    <t>Jenkins, Timothy</t>
  </si>
  <si>
    <t>5943Q</t>
  </si>
  <si>
    <t>Hunt, Sharon</t>
  </si>
  <si>
    <t>4DF55</t>
  </si>
  <si>
    <t>Hunt, Renita</t>
  </si>
  <si>
    <t>42F73</t>
  </si>
  <si>
    <t>Hinton, Ruby</t>
  </si>
  <si>
    <t>B57E3</t>
  </si>
  <si>
    <t>Higgins, Linda</t>
  </si>
  <si>
    <t>EF4DB</t>
  </si>
  <si>
    <t>Harris, Emma</t>
  </si>
  <si>
    <t>Hall, Isaac</t>
  </si>
  <si>
    <t>2DF06</t>
  </si>
  <si>
    <t>Haefling, Dennis</t>
  </si>
  <si>
    <t>695A5</t>
  </si>
  <si>
    <t>Gillis, Ella</t>
  </si>
  <si>
    <t>5740Q</t>
  </si>
  <si>
    <t>Gallardo, Lisa</t>
  </si>
  <si>
    <t>A25F7</t>
  </si>
  <si>
    <t>Franko, Pearl</t>
  </si>
  <si>
    <t>B47FF</t>
  </si>
  <si>
    <t>Fields, Peggy</t>
  </si>
  <si>
    <t>01DB4</t>
  </si>
  <si>
    <t>Ellis, Tracie</t>
  </si>
  <si>
    <t>F033B</t>
  </si>
  <si>
    <t>Darryl Ashely McGirt</t>
  </si>
  <si>
    <t>Dancy, Shiquita</t>
  </si>
  <si>
    <t>7F2D2</t>
  </si>
  <si>
    <t>0FB48</t>
  </si>
  <si>
    <t>8EEC1</t>
  </si>
  <si>
    <t>Collins-Fuller, Taelen</t>
  </si>
  <si>
    <t>9719E</t>
  </si>
  <si>
    <t>Butts, Krystal</t>
  </si>
  <si>
    <t>226EF</t>
  </si>
  <si>
    <t>Burton, Michael</t>
  </si>
  <si>
    <t xml:space="preserve">Burton, James </t>
  </si>
  <si>
    <t>DD6B2</t>
  </si>
  <si>
    <t>Bouie, Wonderful</t>
  </si>
  <si>
    <t>D8695</t>
  </si>
  <si>
    <t>Barnes, Jeanine</t>
  </si>
  <si>
    <t>693BF</t>
  </si>
  <si>
    <t>Whitted, Jamie</t>
  </si>
  <si>
    <t>81B75</t>
  </si>
  <si>
    <t>Tyson, Jacqueline</t>
  </si>
  <si>
    <t>C1982</t>
  </si>
  <si>
    <t>Townsend, Terry</t>
  </si>
  <si>
    <t>Thomas, Charlene</t>
  </si>
  <si>
    <t>17M23</t>
  </si>
  <si>
    <t>Terry, Annette</t>
  </si>
  <si>
    <t>A8B55</t>
  </si>
  <si>
    <t xml:space="preserve">Taylor, Shontia </t>
  </si>
  <si>
    <t>D940F</t>
  </si>
  <si>
    <t>Summers, Lisa</t>
  </si>
  <si>
    <t>748D9</t>
  </si>
  <si>
    <t>Snapp, William</t>
  </si>
  <si>
    <t>01C24</t>
  </si>
  <si>
    <t>Sims, Evelyn</t>
  </si>
  <si>
    <t>Roberts, Ricky</t>
  </si>
  <si>
    <t>367AB</t>
  </si>
  <si>
    <t>Porter, Pamalet</t>
  </si>
  <si>
    <t>0EDFB</t>
  </si>
  <si>
    <t>Perez Valdez, Alicia</t>
  </si>
  <si>
    <t>Parrish, Gwenette</t>
  </si>
  <si>
    <t>36E8D</t>
  </si>
  <si>
    <t>Neal, Saundria</t>
  </si>
  <si>
    <t>4A81A</t>
  </si>
  <si>
    <t>Ms. Clarke</t>
  </si>
  <si>
    <t>9CFEF</t>
  </si>
  <si>
    <t>Moore, Mary Magdalene</t>
  </si>
  <si>
    <t>D0A2D</t>
  </si>
  <si>
    <t>Moneyham, Laycee</t>
  </si>
  <si>
    <t>0DFC0</t>
  </si>
  <si>
    <t>McLendon, Patricia</t>
  </si>
  <si>
    <t>26A30</t>
  </si>
  <si>
    <t>Mclean, Deandrew</t>
  </si>
  <si>
    <t>D77C2</t>
  </si>
  <si>
    <t>Mckeiver, William</t>
  </si>
  <si>
    <t>84C22</t>
  </si>
  <si>
    <t>D751C</t>
  </si>
  <si>
    <t>McArthur, Tiera</t>
  </si>
  <si>
    <t>B7553</t>
  </si>
  <si>
    <t>Madkins, Rose</t>
  </si>
  <si>
    <t>155C2</t>
  </si>
  <si>
    <t>Mackey, Herbert</t>
  </si>
  <si>
    <t>E5411</t>
  </si>
  <si>
    <t>Lina Leyhausen</t>
  </si>
  <si>
    <t>AFB5E</t>
  </si>
  <si>
    <t>Lee, Renita</t>
  </si>
  <si>
    <t>456EA</t>
  </si>
  <si>
    <t>Lane, Daquan</t>
  </si>
  <si>
    <t>C189D</t>
  </si>
  <si>
    <t>Lacewell, Kingston</t>
  </si>
  <si>
    <t>8E506</t>
  </si>
  <si>
    <t>Kevin Corey</t>
  </si>
  <si>
    <t>85ADD</t>
  </si>
  <si>
    <t>Kenion, Hazel</t>
  </si>
  <si>
    <t>9D9E9</t>
  </si>
  <si>
    <t>Isaula-Guardado, Luis</t>
  </si>
  <si>
    <t>B3EAD</t>
  </si>
  <si>
    <t>Huddleston, Bryant</t>
  </si>
  <si>
    <t>CF62D</t>
  </si>
  <si>
    <t>Housand, Jackie</t>
  </si>
  <si>
    <t>AF7FE</t>
  </si>
  <si>
    <t>Hicks, Mia</t>
  </si>
  <si>
    <t>Haygood, Robert Lee</t>
  </si>
  <si>
    <t xml:space="preserve">Grissom, Chazmine </t>
  </si>
  <si>
    <t>C599F</t>
  </si>
  <si>
    <t xml:space="preserve">Glenn, Claudette </t>
  </si>
  <si>
    <t>AD8FA</t>
  </si>
  <si>
    <t xml:space="preserve">Flagg, Melissa </t>
  </si>
  <si>
    <t>9596Q</t>
  </si>
  <si>
    <t xml:space="preserve">Edwards, Sophia </t>
  </si>
  <si>
    <t>406BF</t>
  </si>
  <si>
    <t>Dunston, Frances</t>
  </si>
  <si>
    <t>Dixon, Cynthia Ann</t>
  </si>
  <si>
    <t>C4C0E</t>
  </si>
  <si>
    <t>Dilany Mendez-Escoto</t>
  </si>
  <si>
    <t>DFBFE</t>
  </si>
  <si>
    <t>Daye, Arthur</t>
  </si>
  <si>
    <t>F8E5F</t>
  </si>
  <si>
    <t>Cozart, Felisa</t>
  </si>
  <si>
    <t>27A63</t>
  </si>
  <si>
    <t>A1797</t>
  </si>
  <si>
    <t>Blanks, Brian</t>
  </si>
  <si>
    <t>5C81C</t>
  </si>
  <si>
    <t>Bailey, Jeanette</t>
  </si>
  <si>
    <t>74FB0</t>
  </si>
  <si>
    <t>Ayers, Pamela</t>
  </si>
  <si>
    <t>95F8D</t>
  </si>
  <si>
    <t>Alston, Tenal</t>
  </si>
  <si>
    <t>Padilla, Dania</t>
  </si>
  <si>
    <t>A0DDD</t>
  </si>
  <si>
    <t>D0E98</t>
  </si>
  <si>
    <t xml:space="preserve">Alicia Perez Valdez </t>
  </si>
  <si>
    <t>C4CF8</t>
  </si>
  <si>
    <t>Valdez, Alicia Perez</t>
  </si>
  <si>
    <t>24DD7</t>
  </si>
  <si>
    <t>Chavez Garcia, Fredis</t>
  </si>
  <si>
    <t>Mangal, Timoor Khan</t>
  </si>
  <si>
    <t>826C7</t>
  </si>
  <si>
    <t>Tassew, Benti</t>
  </si>
  <si>
    <t>2F7F2</t>
  </si>
  <si>
    <t>Boone, Wanda</t>
  </si>
  <si>
    <t>5A08E</t>
  </si>
  <si>
    <t xml:space="preserve">Valentina Zepeda Camacho  </t>
  </si>
  <si>
    <t>178PL</t>
  </si>
  <si>
    <t>Banegas, Jessica</t>
  </si>
  <si>
    <t>5A342</t>
  </si>
  <si>
    <t>Trejo, Alexi</t>
  </si>
  <si>
    <t>5CA33</t>
  </si>
  <si>
    <t>Hassell, Darrick</t>
  </si>
  <si>
    <t>Feka, Annemarie J.</t>
  </si>
  <si>
    <t>0EB93</t>
  </si>
  <si>
    <t>Rush, John</t>
  </si>
  <si>
    <t>714EE</t>
  </si>
  <si>
    <t>Williams, Kayden</t>
  </si>
  <si>
    <t>4A30C</t>
  </si>
  <si>
    <t>Johnson, Julia</t>
  </si>
  <si>
    <t>731AE</t>
  </si>
  <si>
    <t>Myers, Carvodo</t>
  </si>
  <si>
    <t>D3C44</t>
  </si>
  <si>
    <t>Flores, Janayra</t>
  </si>
  <si>
    <t>E91EE</t>
  </si>
  <si>
    <t>8E3C9</t>
  </si>
  <si>
    <t>Rivera, Luis</t>
  </si>
  <si>
    <t>8686F</t>
  </si>
  <si>
    <t>Hunter, Jazmine</t>
  </si>
  <si>
    <t>Cozarot, Gloria</t>
  </si>
  <si>
    <t>0F67A</t>
  </si>
  <si>
    <t>Clay, Arthur</t>
  </si>
  <si>
    <t>7K822</t>
  </si>
  <si>
    <t xml:space="preserve">Walker, Zachary </t>
  </si>
  <si>
    <t>46C48</t>
  </si>
  <si>
    <t>Jordan, Rosa</t>
  </si>
  <si>
    <t>8EE0B</t>
  </si>
  <si>
    <t>Thompson, Martina</t>
  </si>
  <si>
    <t>8F7AD</t>
  </si>
  <si>
    <t>Foster, Barbara</t>
  </si>
  <si>
    <t>6B01F</t>
  </si>
  <si>
    <t>McLean, Willie</t>
  </si>
  <si>
    <t>1D9A4</t>
  </si>
  <si>
    <t>Battles, Nekeita</t>
  </si>
  <si>
    <t>5F5CC</t>
  </si>
  <si>
    <t>Alston, Robert</t>
  </si>
  <si>
    <t>09D59</t>
  </si>
  <si>
    <t>Jones, Anthony</t>
  </si>
  <si>
    <t>D2D62</t>
  </si>
  <si>
    <t>Huff, James</t>
  </si>
  <si>
    <t>7502Q</t>
  </si>
  <si>
    <t>Miles, Annie</t>
  </si>
  <si>
    <t>F6956</t>
  </si>
  <si>
    <t>Slaughter, Sam</t>
  </si>
  <si>
    <t>F12A3</t>
  </si>
  <si>
    <t>Walters, Tyeshia</t>
  </si>
  <si>
    <t>AB3A7</t>
  </si>
  <si>
    <t>Yarborough, Diann</t>
  </si>
  <si>
    <t>72AAF</t>
  </si>
  <si>
    <t>9C871</t>
  </si>
  <si>
    <t>Tripplett, Tammy</t>
  </si>
  <si>
    <t>028A0</t>
  </si>
  <si>
    <t>97FEE</t>
  </si>
  <si>
    <t>Stroud, Angela</t>
  </si>
  <si>
    <t>Parks, Devonne</t>
  </si>
  <si>
    <t>9455Q</t>
  </si>
  <si>
    <t>9C5FE</t>
  </si>
  <si>
    <t>Gentry, Rodney</t>
  </si>
  <si>
    <t>ADA41</t>
  </si>
  <si>
    <t>6AC1A</t>
  </si>
  <si>
    <t>Esada, Heather</t>
  </si>
  <si>
    <t>F1B94</t>
  </si>
  <si>
    <t>F3008</t>
  </si>
  <si>
    <t>Barbee, Paul</t>
  </si>
  <si>
    <t>757D8</t>
  </si>
  <si>
    <t>Allen, Julie</t>
  </si>
  <si>
    <t>5D80E</t>
  </si>
  <si>
    <t>Toler, Janice</t>
  </si>
  <si>
    <t>0F428</t>
  </si>
  <si>
    <t>Smith, Shelia</t>
  </si>
  <si>
    <t>9712F</t>
  </si>
  <si>
    <t>Shaw, Terry</t>
  </si>
  <si>
    <t>4ED31</t>
  </si>
  <si>
    <t>Richardson, Tyrone</t>
  </si>
  <si>
    <t>82BD2</t>
  </si>
  <si>
    <t>Reams, Zelma</t>
  </si>
  <si>
    <t>A39DF</t>
  </si>
  <si>
    <t>50CB7</t>
  </si>
  <si>
    <t>Motley, Ellen</t>
  </si>
  <si>
    <t>148D5</t>
  </si>
  <si>
    <t>Morris, Anita</t>
  </si>
  <si>
    <t>3842A</t>
  </si>
  <si>
    <t>McNail, Nailah</t>
  </si>
  <si>
    <t>996AC</t>
  </si>
  <si>
    <t>Lyons, James</t>
  </si>
  <si>
    <t>6E6FC</t>
  </si>
  <si>
    <t>Hunt, Garrett</t>
  </si>
  <si>
    <t>21DD1</t>
  </si>
  <si>
    <t>Horry, Charles</t>
  </si>
  <si>
    <t>5YT8S</t>
  </si>
  <si>
    <t>Gentry, Debbie</t>
  </si>
  <si>
    <t>7454E</t>
  </si>
  <si>
    <t>1806G</t>
  </si>
  <si>
    <t>Brunner, Emil</t>
  </si>
  <si>
    <t>38B2E</t>
  </si>
  <si>
    <t>Brown, Robert</t>
  </si>
  <si>
    <t>A9EDE</t>
  </si>
  <si>
    <t>Bass, Corey</t>
  </si>
  <si>
    <t>6A342</t>
  </si>
  <si>
    <t>Andrews, Carol J</t>
  </si>
  <si>
    <t>7DDB8</t>
  </si>
  <si>
    <t>Austin, Preciss</t>
  </si>
  <si>
    <t>693D8</t>
  </si>
  <si>
    <t>Drake, Lisa Mae</t>
  </si>
  <si>
    <t>C34D5</t>
  </si>
  <si>
    <t>E7ADA</t>
  </si>
  <si>
    <t>Coleman, Tocarra</t>
  </si>
  <si>
    <t>71EDF</t>
  </si>
  <si>
    <t>Webb, Paulette</t>
  </si>
  <si>
    <t>7D490</t>
  </si>
  <si>
    <t xml:space="preserve">McKune, Willia B </t>
  </si>
  <si>
    <t>5C3BB</t>
  </si>
  <si>
    <t>Newman, Mary</t>
  </si>
  <si>
    <t>Cooper, David Allen</t>
  </si>
  <si>
    <t>09B12</t>
  </si>
  <si>
    <t xml:space="preserve">Abdul-Karim, Amatullah V </t>
  </si>
  <si>
    <t>0C362</t>
  </si>
  <si>
    <t>Caraway, Peggy</t>
  </si>
  <si>
    <t>74CC0</t>
  </si>
  <si>
    <t>Wells, Bednia</t>
  </si>
  <si>
    <t>Wells</t>
  </si>
  <si>
    <t>382C5</t>
  </si>
  <si>
    <t>Lyon, Robert</t>
  </si>
  <si>
    <t>E724C</t>
  </si>
  <si>
    <t>Leach, Georgina</t>
  </si>
  <si>
    <t>FAE55</t>
  </si>
  <si>
    <t>Holland, Leslie</t>
  </si>
  <si>
    <t>Taylor, Jerry</t>
  </si>
  <si>
    <t>7F070</t>
  </si>
  <si>
    <t>James, Angelette</t>
  </si>
  <si>
    <t>0176C</t>
  </si>
  <si>
    <t>Weaver, Tim</t>
  </si>
  <si>
    <t>8130A</t>
  </si>
  <si>
    <t>White, Anttoinette</t>
  </si>
  <si>
    <t>0922E</t>
  </si>
  <si>
    <t>Stewart, Hattie</t>
  </si>
  <si>
    <t>19C84</t>
  </si>
  <si>
    <t>Royster, Edna</t>
  </si>
  <si>
    <t>FABCC</t>
  </si>
  <si>
    <t>Royster, Carolyn</t>
  </si>
  <si>
    <t>1B029</t>
  </si>
  <si>
    <t>Leatham, Barbara</t>
  </si>
  <si>
    <t>Lawson, Larry</t>
  </si>
  <si>
    <t>2FCBB</t>
  </si>
  <si>
    <t>Clayton, Leslie</t>
  </si>
  <si>
    <t>C848E</t>
  </si>
  <si>
    <t>Brown, Yvonne</t>
  </si>
  <si>
    <t>FAF47</t>
  </si>
  <si>
    <t>Bracey, Lakeisha</t>
  </si>
  <si>
    <t>92G77</t>
  </si>
  <si>
    <t>Borjon, Maxine</t>
  </si>
  <si>
    <t>491BF</t>
  </si>
  <si>
    <t xml:space="preserve">Vasquez, Evelin </t>
  </si>
  <si>
    <t>8ACA1</t>
  </si>
  <si>
    <t>Lopez, Melanie Bautista</t>
  </si>
  <si>
    <t>E6C25</t>
  </si>
  <si>
    <t>Rodriguez, Jenny</t>
  </si>
  <si>
    <t>C2BC2</t>
  </si>
  <si>
    <t xml:space="preserve">Rivera, Felix </t>
  </si>
  <si>
    <t>94EA8</t>
  </si>
  <si>
    <t>Guadalupe, Yarleny</t>
  </si>
  <si>
    <t>3B773</t>
  </si>
  <si>
    <t>Jessica *gather last name*</t>
  </si>
  <si>
    <t>C9681</t>
  </si>
  <si>
    <t xml:space="preserve">Flores Olvera, Marcelo </t>
  </si>
  <si>
    <t>DF134</t>
  </si>
  <si>
    <t xml:space="preserve">Hunt, Sharon </t>
  </si>
  <si>
    <t>5C927</t>
  </si>
  <si>
    <t>Ortiz, Evelyn</t>
  </si>
  <si>
    <t>E64D0</t>
  </si>
  <si>
    <t>Velasquez, Keyri</t>
  </si>
  <si>
    <t>27C3D</t>
  </si>
  <si>
    <t xml:space="preserve">Telada, Raquel </t>
  </si>
  <si>
    <t>8491D</t>
  </si>
  <si>
    <t xml:space="preserve">Rodriquez Alvarez, Maria </t>
  </si>
  <si>
    <t>D36D4</t>
  </si>
  <si>
    <t xml:space="preserve">Rodriguez Montes De Oca, Nayeli </t>
  </si>
  <si>
    <t>0C131</t>
  </si>
  <si>
    <t xml:space="preserve">Quintero, Pedro </t>
  </si>
  <si>
    <t>BD7A5</t>
  </si>
  <si>
    <t xml:space="preserve">Perez, Erika </t>
  </si>
  <si>
    <t>D6B1A</t>
  </si>
  <si>
    <t xml:space="preserve">Perez Silva, Darvey </t>
  </si>
  <si>
    <t>0EE6C</t>
  </si>
  <si>
    <t>Pantoja, Angelica</t>
  </si>
  <si>
    <t>8708A</t>
  </si>
  <si>
    <t>Ortiz, Cindia</t>
  </si>
  <si>
    <t>8FB96</t>
  </si>
  <si>
    <t>Olivares, Justino Aiquippa</t>
  </si>
  <si>
    <t>793FC</t>
  </si>
  <si>
    <t>Munoz Tavera, Mariel</t>
  </si>
  <si>
    <t>5B85B</t>
  </si>
  <si>
    <t>Melgar, Yolani</t>
  </si>
  <si>
    <t>C0CA9</t>
  </si>
  <si>
    <t>Matute, Karla</t>
  </si>
  <si>
    <t>D1C07</t>
  </si>
  <si>
    <t xml:space="preserve">Martinez, Rosaura </t>
  </si>
  <si>
    <t>F03C1</t>
  </si>
  <si>
    <t xml:space="preserve">Lopez, Rosa </t>
  </si>
  <si>
    <t>9A58D</t>
  </si>
  <si>
    <t>Leedys Cheves</t>
  </si>
  <si>
    <t>3AEC9</t>
  </si>
  <si>
    <t xml:space="preserve">Hernandez Hurtado, Jacinto </t>
  </si>
  <si>
    <t>EF7C6</t>
  </si>
  <si>
    <t xml:space="preserve">Guevara, Jimmy Aguilar </t>
  </si>
  <si>
    <t>833B9</t>
  </si>
  <si>
    <t>Godinez, Alissandra</t>
  </si>
  <si>
    <t>507B6</t>
  </si>
  <si>
    <t>Gladis Hernandez de Alfaro</t>
  </si>
  <si>
    <t>6E376</t>
  </si>
  <si>
    <t>Filemon Paniagua Perez</t>
  </si>
  <si>
    <t>C4610</t>
  </si>
  <si>
    <t>Ceva, Julio Nunez</t>
  </si>
  <si>
    <t>7649D</t>
  </si>
  <si>
    <t>Angel Sanchez-Herrera</t>
  </si>
  <si>
    <t>2013F</t>
  </si>
  <si>
    <t>Alarcon Reyes, Patricio</t>
  </si>
  <si>
    <t>D6475</t>
  </si>
  <si>
    <t>Ramirez, Jennifer</t>
  </si>
  <si>
    <t>EE1F4</t>
  </si>
  <si>
    <t xml:space="preserve">Ortiz, Ana Cintron </t>
  </si>
  <si>
    <t>A9689</t>
  </si>
  <si>
    <t xml:space="preserve">Munoz Xolo, Teodoro </t>
  </si>
  <si>
    <t>9623D</t>
  </si>
  <si>
    <t xml:space="preserve">Juarez Farias, Sofia </t>
  </si>
  <si>
    <t>E84D9</t>
  </si>
  <si>
    <t>Rodriguez Ramos, Francisco</t>
  </si>
  <si>
    <t>6B875</t>
  </si>
  <si>
    <t>Chan Quiroa, Idalia (called Marili)</t>
  </si>
  <si>
    <t>8940Q</t>
  </si>
  <si>
    <t>Melendez, Daisy</t>
  </si>
  <si>
    <t>F4A40</t>
  </si>
  <si>
    <t>Rodriguez, Jajaira</t>
  </si>
  <si>
    <t>55Q60</t>
  </si>
  <si>
    <t>Trejo-Salvador, Silvia</t>
  </si>
  <si>
    <t>3383Q</t>
  </si>
  <si>
    <t xml:space="preserve">Padilla, Brenilda Meza </t>
  </si>
  <si>
    <t>641EF</t>
  </si>
  <si>
    <t>Oakley, Teresa (Gail)</t>
  </si>
  <si>
    <t>7112D</t>
  </si>
  <si>
    <t>Davis, Teresa</t>
  </si>
  <si>
    <t>FAEC6</t>
  </si>
  <si>
    <t xml:space="preserve">Davis, Jacqueline </t>
  </si>
  <si>
    <t>2WT90</t>
  </si>
  <si>
    <t>Green, Brenda</t>
  </si>
  <si>
    <t>AC391</t>
  </si>
  <si>
    <t xml:space="preserve">Carrington, Helen </t>
  </si>
  <si>
    <t>E3252</t>
  </si>
  <si>
    <t>Zamorano Ramirez, Miguel</t>
  </si>
  <si>
    <t>3CA0E</t>
  </si>
  <si>
    <t>Ruiz Soriano, Emilia</t>
  </si>
  <si>
    <t>22A44</t>
  </si>
  <si>
    <t>Amaya Torres, Irma</t>
  </si>
  <si>
    <t>297CA</t>
  </si>
  <si>
    <t>Yenci Munos-Herrera</t>
  </si>
  <si>
    <t>BF01E</t>
  </si>
  <si>
    <t>Apodaca Dominguez, America</t>
  </si>
  <si>
    <t>0EB7A</t>
  </si>
  <si>
    <t xml:space="preserve">Lemus-Gamboa, Hector </t>
  </si>
  <si>
    <t>9A054</t>
  </si>
  <si>
    <t>Holemena, Koneta</t>
  </si>
  <si>
    <t>C3E55</t>
  </si>
  <si>
    <t>Thorp, Honor</t>
  </si>
  <si>
    <t>E20F6</t>
  </si>
  <si>
    <t>Sowell, Bria</t>
  </si>
  <si>
    <t>9A06E</t>
  </si>
  <si>
    <t>Segovia-Rangel, Milli S</t>
  </si>
  <si>
    <t>807DF</t>
  </si>
  <si>
    <t>Nada, Joulianna</t>
  </si>
  <si>
    <t>67FB8</t>
  </si>
  <si>
    <t xml:space="preserve">Mushamuka, Arafat </t>
  </si>
  <si>
    <t>29A89</t>
  </si>
  <si>
    <t>Marrow, Brooklyn</t>
  </si>
  <si>
    <t>0778A</t>
  </si>
  <si>
    <t>Jones, Tanajah</t>
  </si>
  <si>
    <t>1053A</t>
  </si>
  <si>
    <t>Hill, Jayda</t>
  </si>
  <si>
    <t>F3CFB</t>
  </si>
  <si>
    <t>Hafsah, Ali</t>
  </si>
  <si>
    <t>DB0A8</t>
  </si>
  <si>
    <t>Deberry, Nathaniel</t>
  </si>
  <si>
    <t>8DAB0</t>
  </si>
  <si>
    <t>Cox, Tacory</t>
  </si>
  <si>
    <t>0E929</t>
  </si>
  <si>
    <t>Antwan Debnam</t>
  </si>
  <si>
    <t>AD576</t>
  </si>
  <si>
    <t>Taylor, Robert</t>
  </si>
  <si>
    <t>77C8C</t>
  </si>
  <si>
    <t>Shoffner, Amber</t>
  </si>
  <si>
    <t>D3F47</t>
  </si>
  <si>
    <t>Kenduywa, Stephen</t>
  </si>
  <si>
    <t>5319Q</t>
  </si>
  <si>
    <t>Daye, Wisdom</t>
  </si>
  <si>
    <t>646B0</t>
  </si>
  <si>
    <t>Davenport, Donye</t>
  </si>
  <si>
    <t>A43C8</t>
  </si>
  <si>
    <t>Berndt, Moussa</t>
  </si>
  <si>
    <t>FFF1A</t>
  </si>
  <si>
    <t>Adewusi, Jeremiah</t>
  </si>
  <si>
    <t>53CD9</t>
  </si>
  <si>
    <t>Safi, Sarhad</t>
  </si>
  <si>
    <t>655D4</t>
  </si>
  <si>
    <t xml:space="preserve">Tapia-Torres, Jesus </t>
  </si>
  <si>
    <t>2756Q</t>
  </si>
  <si>
    <t>Vargas Angeles, Adrian</t>
  </si>
  <si>
    <t>43A6A</t>
  </si>
  <si>
    <t>Sarahi Garcia Guerra</t>
  </si>
  <si>
    <t>7602E</t>
  </si>
  <si>
    <t>Rodriguez, Camila</t>
  </si>
  <si>
    <t>E5FA5</t>
  </si>
  <si>
    <t>Rios, Christopher</t>
  </si>
  <si>
    <t>97F82</t>
  </si>
  <si>
    <t>Reyna Martinez, Sujei</t>
  </si>
  <si>
    <t>5A542</t>
  </si>
  <si>
    <t>Munoz, Brenda</t>
  </si>
  <si>
    <t>48F1D</t>
  </si>
  <si>
    <t>Munguia Castillo, Sarah</t>
  </si>
  <si>
    <t>A2B1E</t>
  </si>
  <si>
    <t xml:space="preserve">Mendoza Najera, Bryan </t>
  </si>
  <si>
    <t>5BE47</t>
  </si>
  <si>
    <t>Mena Pizano, Alina Yazime</t>
  </si>
  <si>
    <t>D0EC8</t>
  </si>
  <si>
    <t>Gomez Chavez, Emiliano</t>
  </si>
  <si>
    <t>1AA44</t>
  </si>
  <si>
    <t>Figueroa, Jeffery</t>
  </si>
  <si>
    <t>37C74</t>
  </si>
  <si>
    <t>Angel C Rodriguez</t>
  </si>
  <si>
    <t xml:space="preserve">Ramirez, Diego Hernandez </t>
  </si>
  <si>
    <t>C38B2</t>
  </si>
  <si>
    <t>Liam Orozco Fuentes</t>
  </si>
  <si>
    <t>9C25B</t>
  </si>
  <si>
    <t>Dylan Enriquez Rojel</t>
  </si>
  <si>
    <t>8CFC3</t>
  </si>
  <si>
    <t>Cortes Cortes, Eduardo</t>
  </si>
  <si>
    <t>63B61</t>
  </si>
  <si>
    <t>Ignacio-Bautista, Bryan</t>
  </si>
  <si>
    <t>418F3</t>
  </si>
  <si>
    <t>Vega, Ehtan</t>
  </si>
  <si>
    <t>D4263</t>
  </si>
  <si>
    <t>Vargas, Adrian</t>
  </si>
  <si>
    <t>6D22E</t>
  </si>
  <si>
    <t>Ramos, Adriana J</t>
  </si>
  <si>
    <t>EFF8A</t>
  </si>
  <si>
    <t>6687Q</t>
  </si>
  <si>
    <t>Chavez-Mendoza, Thiago</t>
  </si>
  <si>
    <t>85F5D</t>
  </si>
  <si>
    <t>Bautista Mendez, Reina Judith</t>
  </si>
  <si>
    <t>7979E</t>
  </si>
  <si>
    <t>Genesis, Ardon Rodriguez</t>
  </si>
  <si>
    <t>1161F</t>
  </si>
  <si>
    <t>Cornejo Mareco, Osdiel</t>
  </si>
  <si>
    <t>1BBA0</t>
  </si>
  <si>
    <t>Carranza Velasquez, Valeria Lucia</t>
  </si>
  <si>
    <t>Spivey, Clyde</t>
  </si>
  <si>
    <t>Godfrey, DeVon</t>
  </si>
  <si>
    <t>85BA8</t>
  </si>
  <si>
    <t>Sanders, Charles</t>
  </si>
  <si>
    <t>DBEC0</t>
  </si>
  <si>
    <t>Franklin, James</t>
  </si>
  <si>
    <t>05F5B</t>
  </si>
  <si>
    <t>Kennedy, Pamela</t>
  </si>
  <si>
    <t>A07D3</t>
  </si>
  <si>
    <t>Liles, Charlie Edward</t>
  </si>
  <si>
    <t>F48D9</t>
  </si>
  <si>
    <t>Blackwell, Doris</t>
  </si>
  <si>
    <t>044FB</t>
  </si>
  <si>
    <t>King, Bryan</t>
  </si>
  <si>
    <t>Saunders, Martin Tyler</t>
  </si>
  <si>
    <t>9712G</t>
  </si>
  <si>
    <t>Hamilton, Alan</t>
  </si>
  <si>
    <t xml:space="preserve">Andrews, Reginald </t>
  </si>
  <si>
    <t>8FC47</t>
  </si>
  <si>
    <t>Brown, Annette</t>
  </si>
  <si>
    <t>Roger, Yvonne</t>
  </si>
  <si>
    <t>E95F1</t>
  </si>
  <si>
    <t>Bethea, Katrina</t>
  </si>
  <si>
    <t>Mills,Denise</t>
  </si>
  <si>
    <t>F34E1</t>
  </si>
  <si>
    <t>Parra Dominguez, Cristian</t>
  </si>
  <si>
    <t>2949A</t>
  </si>
  <si>
    <t>Gould, Antonio</t>
  </si>
  <si>
    <t>1C9B6</t>
  </si>
  <si>
    <t>Alfaro, Benjamin</t>
  </si>
  <si>
    <t>King, Deenaya</t>
  </si>
  <si>
    <t>Pettigrow, Vickie</t>
  </si>
  <si>
    <t>7EFA5</t>
  </si>
  <si>
    <t>Maxwell, Jackie</t>
  </si>
  <si>
    <t>E1684</t>
  </si>
  <si>
    <t>Anderson, Moleik</t>
  </si>
  <si>
    <t>75BBF</t>
  </si>
  <si>
    <t>Miles, Vernon</t>
  </si>
  <si>
    <t>Carole Thompson</t>
  </si>
  <si>
    <t>FB481</t>
  </si>
  <si>
    <t>Mumford, Reginald</t>
  </si>
  <si>
    <t>BA487</t>
  </si>
  <si>
    <t>Sun, Daniel</t>
  </si>
  <si>
    <t>F5951</t>
  </si>
  <si>
    <t>AC 2/14 left VM and sent text</t>
  </si>
  <si>
    <t>Hargrave, Gary</t>
  </si>
  <si>
    <t>2BECD</t>
  </si>
  <si>
    <t>Lassiter, Kenneth</t>
  </si>
  <si>
    <t>1YR62</t>
  </si>
  <si>
    <t>Breanston, Ennis</t>
  </si>
  <si>
    <t>Howell, Antoine</t>
  </si>
  <si>
    <t>C777D</t>
  </si>
  <si>
    <t>Neville, Christine</t>
  </si>
  <si>
    <t>27Q49</t>
  </si>
  <si>
    <t>12B3B</t>
  </si>
  <si>
    <t>Parker, Cynthia</t>
  </si>
  <si>
    <t>3741C</t>
  </si>
  <si>
    <t>AE877</t>
  </si>
  <si>
    <t>Elliot, Audrey</t>
  </si>
  <si>
    <t>FD731</t>
  </si>
  <si>
    <t>McLain, Robin</t>
  </si>
  <si>
    <t>D57DE</t>
  </si>
  <si>
    <t xml:space="preserve">Bright, Viviane </t>
  </si>
  <si>
    <t>7369S</t>
  </si>
  <si>
    <t>Denslow, Brandi</t>
  </si>
  <si>
    <t>AE104</t>
  </si>
  <si>
    <t>McCoy, Beverly</t>
  </si>
  <si>
    <t>Ormond, Joyce</t>
  </si>
  <si>
    <t>Abram-Jones, Karen</t>
  </si>
  <si>
    <t>6929Q</t>
  </si>
  <si>
    <t>Thomas, Margaret</t>
  </si>
  <si>
    <t>E4F73</t>
  </si>
  <si>
    <t xml:space="preserve">Parker, Christine </t>
  </si>
  <si>
    <t>Mitchell, Annie</t>
  </si>
  <si>
    <t>Gaddy, Kristoffer</t>
  </si>
  <si>
    <t>EB7AD</t>
  </si>
  <si>
    <t xml:space="preserve">Burnette Jr., David L </t>
  </si>
  <si>
    <t>EEDDD</t>
  </si>
  <si>
    <t>22Q89</t>
  </si>
  <si>
    <t>Gentry, Sandra</t>
  </si>
  <si>
    <t>FFE56</t>
  </si>
  <si>
    <t>Perez Moreno, Roxana Zeynep</t>
  </si>
  <si>
    <t>D4053</t>
  </si>
  <si>
    <t>Flores Castejon, Kristel</t>
  </si>
  <si>
    <t>E1D6B</t>
  </si>
  <si>
    <t>Garcia Osorio, Juan</t>
  </si>
  <si>
    <t>1F77D</t>
  </si>
  <si>
    <t>Chacon Canahui, Amparo del Carmen</t>
  </si>
  <si>
    <t>E35A0</t>
  </si>
  <si>
    <t>Serrano-Vazquez, Sylvia</t>
  </si>
  <si>
    <t>7875Q</t>
  </si>
  <si>
    <t>FC1FA</t>
  </si>
  <si>
    <t>Coltrane, Tracy Lee</t>
  </si>
  <si>
    <t>Household Size$</t>
  </si>
  <si>
    <t>Patient allergy</t>
  </si>
  <si>
    <t>Call notes 1/21</t>
  </si>
  <si>
    <t>Call Notes 1/28</t>
  </si>
  <si>
    <t>Call Notes 2/4</t>
  </si>
  <si>
    <t>Call notes 2/11</t>
  </si>
  <si>
    <t>Call Notes 2/18</t>
  </si>
  <si>
    <t>Call Notes 2/25</t>
  </si>
  <si>
    <t>Call Notes 3/4</t>
  </si>
  <si>
    <t>Call Notes 3/11</t>
  </si>
  <si>
    <t>Call Notes 3/18</t>
  </si>
  <si>
    <t>Call Notes 3/25</t>
  </si>
  <si>
    <t>Call Notes 4/1</t>
  </si>
  <si>
    <t>Call Notes 4/8</t>
  </si>
  <si>
    <t>Call Notes 4/15</t>
  </si>
  <si>
    <t>Call Notes 4/22</t>
  </si>
  <si>
    <t>Call Notes 4/29</t>
  </si>
  <si>
    <t>Call Notes 5/6</t>
  </si>
  <si>
    <t>Call Notes 5/13</t>
  </si>
  <si>
    <t>EK confirmed via phone</t>
  </si>
  <si>
    <t>IM 3/7: confirmed delivery</t>
  </si>
  <si>
    <t>OS 3/22: confirmed by call</t>
  </si>
  <si>
    <t>ES 4/19: confirmed by call</t>
  </si>
  <si>
    <t>KD left message</t>
  </si>
  <si>
    <t>NZ 2/9 vm box was full, sent text</t>
  </si>
  <si>
    <t>RS 2/22 mailbox was full</t>
  </si>
  <si>
    <t>CL 3/7: VM full, texted</t>
  </si>
  <si>
    <t>RS 3/22 VM box full, sent text</t>
  </si>
  <si>
    <t>MG: 4/6 VM full; sent text</t>
  </si>
  <si>
    <t>BL 4/20 no answer and VM is full</t>
  </si>
  <si>
    <t>Libby Meier 5/2, 5/20</t>
  </si>
  <si>
    <t>1/24 RS confirmed via DMC</t>
  </si>
  <si>
    <t>RS 2/22 left VM</t>
  </si>
  <si>
    <t>VA: 3/24 confirmed via text</t>
  </si>
  <si>
    <t>ER 4/19 left VM and text</t>
  </si>
  <si>
    <t>Dipti Chhetri 5/2, 5/20DC Called 1:10 VM left, Sent TX</t>
  </si>
  <si>
    <t>NC confirmed 1/25</t>
  </si>
  <si>
    <t>BL 2/23 sent text</t>
  </si>
  <si>
    <t>SU: Did not pick up, left VM</t>
  </si>
  <si>
    <t>RS 3/22 left VM, text unavailable</t>
  </si>
  <si>
    <t>MG: Confirmed via call 4/6</t>
  </si>
  <si>
    <t>BL 4/20 confirmed</t>
  </si>
  <si>
    <t>A17F7</t>
  </si>
  <si>
    <t>KD deliver 3 weeks from now</t>
  </si>
  <si>
    <t>NZ 2/9 skip this week</t>
  </si>
  <si>
    <t>JO, LT called VM full, text</t>
  </si>
  <si>
    <t>CL 3/7: skip this week</t>
  </si>
  <si>
    <t>JO 03/21: left GV text</t>
  </si>
  <si>
    <t>MG: Confirmed via text 4/6</t>
  </si>
  <si>
    <t>AC 4/20 confirmed delivery</t>
  </si>
  <si>
    <t>x</t>
  </si>
  <si>
    <t>ER, LT called, could not leave VM</t>
  </si>
  <si>
    <t>MG: Confirmed via call 3/09</t>
  </si>
  <si>
    <t>AW 3/29: no VM, sent text</t>
  </si>
  <si>
    <t>KT 4/6 : Confirmed delivery for 4/8 &amp; 4/22</t>
  </si>
  <si>
    <t>ES 4/19: sent text (no voicemail available)</t>
  </si>
  <si>
    <t>BL 4/28 via call does not want food this week, will call back if anyhting changes</t>
  </si>
  <si>
    <t>BL 4/28 confirmed via call</t>
  </si>
  <si>
    <t>Allen, Jeremiah (goes by "Maya")</t>
  </si>
  <si>
    <t>JO 04/14: confirmed by call</t>
  </si>
  <si>
    <t>JO 04/14: left GV text and voicemail</t>
  </si>
  <si>
    <t xml:space="preserve">RW confirmed via call 4/20 </t>
  </si>
  <si>
    <t>AS 2/1 confirmed via call</t>
  </si>
  <si>
    <t>RG confirmed for 2/18</t>
  </si>
  <si>
    <t>RG confirmed for 3/4</t>
  </si>
  <si>
    <t>JO 03/09: left voicemail and sent GV text</t>
  </si>
  <si>
    <t>AW 3/29: left VM and text</t>
  </si>
  <si>
    <t>LT confirmed 4/4 via DMC</t>
  </si>
  <si>
    <t>LT confirmed via DMC 4/18/23</t>
  </si>
  <si>
    <t>LT called, and voicemail</t>
  </si>
  <si>
    <t>AC 2/9 sent text and left VM</t>
  </si>
  <si>
    <t>AC 2/23 left VM and sent text</t>
  </si>
  <si>
    <t>RS 3/7: left VM</t>
  </si>
  <si>
    <t>NV 3/23 called 9192254572 preferred number and the person who picked up is not Mr. Gary, left VM and text on the other number</t>
  </si>
  <si>
    <t xml:space="preserve">BL 4/5 sent text </t>
  </si>
  <si>
    <t>Maria Morales confirm 4/22, 5/6</t>
  </si>
  <si>
    <t>KT 5/4 no VM, left Text</t>
  </si>
  <si>
    <t>JO 02/08: left voicemail and sent GV text</t>
  </si>
  <si>
    <t>AC 2/23 confirmed delivery</t>
  </si>
  <si>
    <t>NV 3/23 confirmed delivery 3/25 and 4/8</t>
  </si>
  <si>
    <t>KT 5/4 left VM and Text</t>
  </si>
  <si>
    <t>AC 1/25 left VM and sent text</t>
  </si>
  <si>
    <t>VA: 3/9 left VM, sent text</t>
  </si>
  <si>
    <t>NV 3/23 went straight to VM, left VM and sent text</t>
  </si>
  <si>
    <t>JO 04/21: left voicemail and sent GV text</t>
  </si>
  <si>
    <t xml:space="preserve">
ER 1/26 confirmed delivery for 1/28 and 2/11</t>
  </si>
  <si>
    <t>RS 2/09 confirmed 2/11 and 2/25 delivery</t>
  </si>
  <si>
    <t>JO 04/21: sent GV text</t>
  </si>
  <si>
    <t>ER 1/26 left VM and sent text</t>
  </si>
  <si>
    <t>RS 2/09 left VM</t>
  </si>
  <si>
    <t>NV 2/23 left VM asking for deliveries on 2/25 and 3/11 and sent text</t>
  </si>
  <si>
    <t>AW 3/22: no answer, VM full, left text</t>
  </si>
  <si>
    <t>NV 5/4 went straight to VM, sent text message</t>
  </si>
  <si>
    <t>NV 1/26 left VM and sent text</t>
  </si>
  <si>
    <t>BL 2/7 left VM and sent text</t>
  </si>
  <si>
    <t xml:space="preserve">NV 2/23 number no longer in service, mother's phone went through and I left a VM/Text </t>
  </si>
  <si>
    <t>BL 3/7 number not in use, sent text</t>
  </si>
  <si>
    <t>BL 4/5 number not in use, sent text</t>
  </si>
  <si>
    <t>KT 4/20 left VM and text</t>
  </si>
  <si>
    <t>BL 2/7 number wont go through</t>
  </si>
  <si>
    <t>NV 2/23 left VM and sent text message</t>
  </si>
  <si>
    <t>BL 3/7 number won't go through, sent text</t>
  </si>
  <si>
    <t>Julie Ou confirm for 4/8 and 4/22</t>
  </si>
  <si>
    <t>NEEDS TO BE CALLED</t>
  </si>
  <si>
    <t>NV 5/4 VM not set up, sent text message, confirmed delivery</t>
  </si>
  <si>
    <t>NV 2/23 phone number not worknig, call drops as soon as I call</t>
  </si>
  <si>
    <t>NV 5/4 not accepting calls/not going VM, sent text message</t>
  </si>
  <si>
    <t>ER 1/26 confirmed delivery for 1/28 and 2/11</t>
  </si>
  <si>
    <t>JO 02/08: confirmed via call</t>
  </si>
  <si>
    <t>TW 3/8: left VM</t>
  </si>
  <si>
    <t>AW 3/22: confirmed via text</t>
  </si>
  <si>
    <t>NV 4/20 left VM and sent text - VA confirmed</t>
  </si>
  <si>
    <t>NV 5/4 confirmed delivery 5/6</t>
  </si>
  <si>
    <t>OS confirmed</t>
  </si>
  <si>
    <t>BL 2/7 confirmed via call</t>
  </si>
  <si>
    <t>Justin Zhang, LT called, left VM</t>
  </si>
  <si>
    <t>AW 3/22: no answer, left VM and text</t>
  </si>
  <si>
    <t>KT 4/20 confirmed via call</t>
  </si>
  <si>
    <t>NV 5/4 left VM and sent text message</t>
  </si>
  <si>
    <t>ER 2/9 texted and left voicemail</t>
  </si>
  <si>
    <t>2/21 RS confirmed via DMC</t>
  </si>
  <si>
    <t>AW 3/22: no answer or VM set up, left text</t>
  </si>
  <si>
    <t>Tianrui Wu confirm for 4/8 and 4/22</t>
  </si>
  <si>
    <t>VA: 4/20 call didn't go through, sent text</t>
  </si>
  <si>
    <t>NZ 5/4 call didn't go through, sent text</t>
  </si>
  <si>
    <t>JZ 2/23 Confirmed via call</t>
  </si>
  <si>
    <t>AC 3/9 confirmed delivery</t>
  </si>
  <si>
    <t>EK 4/6 called and sent text but VM unavailable</t>
  </si>
  <si>
    <t>VA: 4/20 confirmed</t>
  </si>
  <si>
    <t>NZ 5/4 confirmed delivery</t>
  </si>
  <si>
    <t>VA: 1/25 confirmed</t>
  </si>
  <si>
    <t>AC 2/9 confirmed over text</t>
  </si>
  <si>
    <t>TW 3/8: confirmed via call</t>
  </si>
  <si>
    <t>EK 4/6 left VM and text</t>
  </si>
  <si>
    <t>VA: 4/21 confirmed via VM</t>
  </si>
  <si>
    <t>NZ 5/5 CONFIRMED DELIVERY</t>
  </si>
  <si>
    <t>Lactose</t>
  </si>
  <si>
    <t>Kushagra Ghosh (please confirm for 2/11 and 2/25)</t>
  </si>
  <si>
    <t>AS 2/16 confirmed via call</t>
  </si>
  <si>
    <t>TW 2/22: confirmed delivery</t>
  </si>
  <si>
    <t>RS 3/7: no delivery this week</t>
  </si>
  <si>
    <t>RS 3/7: confirmed delivery</t>
  </si>
  <si>
    <t>EK 4/6 confirmed via text</t>
  </si>
  <si>
    <t>NZ 5/4 SKIP THIS WEEK</t>
  </si>
  <si>
    <t>VA: 1/24 confirmed via text</t>
  </si>
  <si>
    <t>VA: 1/25 confirmed via text</t>
  </si>
  <si>
    <t>2/7 RS confirmed via DMC</t>
  </si>
  <si>
    <t>AC 3/9 confirmed over text</t>
  </si>
  <si>
    <t>LT confirmed 1/27</t>
  </si>
  <si>
    <t>AC 2/9 confirmed delivery</t>
  </si>
  <si>
    <t>EK 4/6 confirmed via call</t>
  </si>
  <si>
    <t>Justin Zhang, LT confirmed via call</t>
  </si>
  <si>
    <t>TW 4/4: confirmed via call</t>
  </si>
  <si>
    <t>KF 5/4 confirmed via call</t>
  </si>
  <si>
    <t>LT confirmed DMC</t>
  </si>
  <si>
    <t>NV 4/6 VM full, sent text message, confirmed 4/8 and 4/22 delivery via text</t>
  </si>
  <si>
    <t>KF 5/4 confirmed via text</t>
  </si>
  <si>
    <t>AC 2/9 confirmed by text</t>
  </si>
  <si>
    <t>Emily Robers, LT called left VM</t>
  </si>
  <si>
    <t>RS 3/20 confirmed via DMC</t>
  </si>
  <si>
    <t>NV 4/6 left VM and sent text message, confirmed 4/8 and 4/22 delivery via text</t>
  </si>
  <si>
    <t>NV 4/6 left VM and sent text message, confirmed 4/8 and 4/22 via text</t>
  </si>
  <si>
    <t>Matthew Yuan (please confirm for 2/11 and 2/25)</t>
  </si>
  <si>
    <t>JZ 2/23 Patient called back and I believe they confirmed, but it was hard to make out</t>
  </si>
  <si>
    <t>3/6 RS confirmed via DMC</t>
  </si>
  <si>
    <t xml:space="preserve">DB 4/5:  confirmed via text for both parties; requested essential items </t>
  </si>
  <si>
    <t xml:space="preserve">JZ 2/23 Confirmed via call; says he has not </t>
  </si>
  <si>
    <t>Jones, Rosa (Annette Smith will pick up)</t>
  </si>
  <si>
    <t>AC 1/25 confirmed delivery</t>
  </si>
  <si>
    <t>Arun Chakrabarty</t>
  </si>
  <si>
    <t>OS confirmed via text</t>
  </si>
  <si>
    <t>BL 2/7 sent text</t>
  </si>
  <si>
    <t>BL 3/7 no one answered when they picked up, sent text</t>
  </si>
  <si>
    <t>AW 3/22: confirmed delivery (please leave on chair if no one answers door)</t>
  </si>
  <si>
    <t>EK 4/20 left VM and sent text</t>
  </si>
  <si>
    <t>LT confirmed via DMC 5/2/23</t>
  </si>
  <si>
    <t>VA: 1/31 confirmed via text</t>
  </si>
  <si>
    <t>AC 1/25 confirmed by text</t>
  </si>
  <si>
    <t>TW 4/4: left VM and sent text</t>
  </si>
  <si>
    <t>JO 02/08: sent GV text</t>
  </si>
  <si>
    <t>AC 2/23 VM mailbox full, sent text</t>
  </si>
  <si>
    <t>TW 4/13: confirmed via text</t>
  </si>
  <si>
    <t>NV 4/6 patient will not be home and asked that food be left at apt 310 (across the hall) and said can open door and leave food on counter in apt 310 only for 4/8)</t>
  </si>
  <si>
    <t>NV 4/6 confirmed delivery 4/22</t>
  </si>
  <si>
    <t>NV 4/6 confirmed delivery for 4/8 and 4/22, patient confirmed delivery over text and is concerned why there are multiple texts and calls coming in</t>
  </si>
  <si>
    <t>VA: 1/25 confimed via text</t>
  </si>
  <si>
    <t>DB 4/5: confired via phone call for  4/8; househould size increased from 5 to 7</t>
  </si>
  <si>
    <t>DB 4/5: confired via phone call for  4/22; househould size increased from 5 to 7</t>
  </si>
  <si>
    <t>NV 1/26 confirmed delivery 1/28 and 2/11, added in address and updated household size to 4</t>
  </si>
  <si>
    <t>RS confirmed</t>
  </si>
  <si>
    <t>TW 3/8: confirmed via text</t>
  </si>
  <si>
    <t xml:space="preserve">DB 4/5:  confirmed for 4/8 via phone call </t>
  </si>
  <si>
    <t>DB 4/5: confirmed via phone call 4/22</t>
  </si>
  <si>
    <t>VA: 2/10 confirmed via text</t>
  </si>
  <si>
    <t>JZ 2/23 Confirmed via text</t>
  </si>
  <si>
    <t>DB 4/5: confired via phone call for  4/22</t>
  </si>
  <si>
    <t>Emily Robers, LT confirmed via call</t>
  </si>
  <si>
    <t>Forbes, Carla</t>
  </si>
  <si>
    <t>AC 3/9 confirmed over text; leave bags on front porch</t>
  </si>
  <si>
    <t>Liles,Lisa</t>
  </si>
  <si>
    <t>ER confirmed for 2/4</t>
  </si>
  <si>
    <t>ER confirmed for 2/18</t>
  </si>
  <si>
    <t xml:space="preserve">MY 2/23: confirmed delivery. </t>
  </si>
  <si>
    <t>AC 2/23 confirmed, address has changed to 400 Foxridge Crescent Apt 413, Durham, NC 27703</t>
  </si>
  <si>
    <t>AC 2/23 confirmed, address changed to 400 Foxridge Crescent Apt 413, Durham, NC 27703</t>
  </si>
  <si>
    <t xml:space="preserve">
ER 1/26 confirmed delivery for 1/28 and 2/11</t>
  </si>
  <si>
    <t>VA: 2/9 confirmed via text</t>
  </si>
  <si>
    <t>1/25 ML confirmed via text</t>
  </si>
  <si>
    <t>KC confirmed 2/10</t>
  </si>
  <si>
    <t>RG left voicemail/text</t>
  </si>
  <si>
    <t>KC: Left VM and text</t>
  </si>
  <si>
    <t>Diona Boone confirm for 4/8 and 4/22</t>
  </si>
  <si>
    <t>AS 4/19 left text and VM</t>
  </si>
  <si>
    <t xml:space="preserve">KC: 1/27 confirmed </t>
  </si>
  <si>
    <t>PR Confirmed 2/11</t>
  </si>
  <si>
    <t>PR Confirmed 2/25</t>
  </si>
  <si>
    <t>EK 3/9 confirmed via call</t>
  </si>
  <si>
    <t>Said she would be out of town for both dates 4/6</t>
  </si>
  <si>
    <t>Carmel Falek confirm 4/22 and 5/6</t>
  </si>
  <si>
    <t>Keyla Matute</t>
  </si>
  <si>
    <t>EK 3/9 confirmed via text</t>
  </si>
  <si>
    <t xml:space="preserve">1/26 KG confirmed from text </t>
  </si>
  <si>
    <t>KC: confirmed 2/10</t>
  </si>
  <si>
    <t>RG confirmed via text</t>
  </si>
  <si>
    <t>KC: Texted, no VM box</t>
  </si>
  <si>
    <t>CF left voicemail and text 5/2</t>
  </si>
  <si>
    <t>CF confirmed 5/2</t>
  </si>
  <si>
    <t>AS 3/8 confirmed via text</t>
  </si>
  <si>
    <t>left a VM and text 4/6</t>
  </si>
  <si>
    <t>Confirmed 4/6</t>
  </si>
  <si>
    <t>PR Confirmed via text 2/11</t>
  </si>
  <si>
    <t>KC: Same person as above (duplicate**)</t>
  </si>
  <si>
    <t>EL sent GV text 4/7, confirmed 4/7</t>
  </si>
  <si>
    <t xml:space="preserve">EL sent GV text 4/7, CM confirmed via call </t>
  </si>
  <si>
    <t>1/25 ML confirmed via call</t>
  </si>
  <si>
    <t>RG confirmed via call</t>
  </si>
  <si>
    <t>AS 4/5 confirmed via text</t>
  </si>
  <si>
    <t>1/25 ML left text and VM</t>
  </si>
  <si>
    <t>KC: Confirmed 4/6</t>
  </si>
  <si>
    <t>EK 4/4 confirmed via phone</t>
  </si>
  <si>
    <t>Jared Antonio Sierra Oliva</t>
  </si>
  <si>
    <t>AS 3/8 confirmed via call</t>
  </si>
  <si>
    <t>EK 4/4 left text (VM box and call unavailable)</t>
  </si>
  <si>
    <t>AS 4/5 confirmed via call</t>
  </si>
  <si>
    <t>Ek 4/4 confirmed via text</t>
  </si>
  <si>
    <t>1/26 KG confirmed from text after no response calling</t>
  </si>
  <si>
    <t>Ended the call on me 4/6</t>
  </si>
  <si>
    <t>AS 4/19 confirmed via call</t>
  </si>
  <si>
    <t>1/26 Left a text and voicemail</t>
  </si>
  <si>
    <t>AS 4/19 confirmed via text</t>
  </si>
  <si>
    <t xml:space="preserve">1/25 KG confirmed from text </t>
  </si>
  <si>
    <t>AS 3/8 wrong number?</t>
  </si>
  <si>
    <t>ML 2/2 confirmed via text</t>
  </si>
  <si>
    <t>ML: 2/2 confirmed via text</t>
  </si>
  <si>
    <t>JF 3/13 confirmed by call</t>
  </si>
  <si>
    <t xml:space="preserve">Ramos, Oliver Alejandro </t>
  </si>
  <si>
    <t>Rita Glazer confirmed via call</t>
  </si>
  <si>
    <t>ML left text 2/15</t>
  </si>
  <si>
    <t>AS 2/22 confirmed via call -- also confirmed address</t>
  </si>
  <si>
    <t>AS 2/22 confirmed via call</t>
  </si>
  <si>
    <t>RG left text and call</t>
  </si>
  <si>
    <t>KC: Confirmed 03/23</t>
  </si>
  <si>
    <t>EK 4/4 left VM and text</t>
  </si>
  <si>
    <t>EK  confirmed via phone</t>
  </si>
  <si>
    <t>KD confirmed-would like delivered between 10-11:30am</t>
  </si>
  <si>
    <t>KD confirmed- would like delivered between 10-11:30</t>
  </si>
  <si>
    <t>BL 2/23 confimed via text</t>
  </si>
  <si>
    <t>BL 3/22 confirmed left vm and sent text</t>
  </si>
  <si>
    <t>DC confirmed 5/5</t>
  </si>
  <si>
    <t>VA: 2/22 confirmed via text</t>
  </si>
  <si>
    <t>LM left VM + text 4/20</t>
  </si>
  <si>
    <t>DC Called 1:20 Confirmed 05/04</t>
  </si>
  <si>
    <t>BL 3/22 confirmed via text</t>
  </si>
  <si>
    <t>VA: 2/22 confirmed via text (skip 3/11)</t>
  </si>
  <si>
    <t>VA: 2/22 SKIP via text</t>
  </si>
  <si>
    <t>VA: 3/21 confirmed via text</t>
  </si>
  <si>
    <t>NV 4/20 left VM and text</t>
  </si>
  <si>
    <t>CG 1/26 Confirmed via call</t>
  </si>
  <si>
    <t xml:space="preserve">NZ 2/9 this is the SAME number as Paulette Webb? </t>
  </si>
  <si>
    <t>JO, LT &lt;- this might be a duplicated row</t>
  </si>
  <si>
    <t>CL 3/7: confirmed, said we already called her</t>
  </si>
  <si>
    <t>MG: 4/6 No VM; home phone no msg sent</t>
  </si>
  <si>
    <t>Arun Chakrabarty 4/22, 5/6</t>
  </si>
  <si>
    <t>NC called, didn't pick up, texted</t>
  </si>
  <si>
    <t>AS 2/8 left text, VM full</t>
  </si>
  <si>
    <t>NZ 2/22 vm box full, sent text</t>
  </si>
  <si>
    <t>JO 03/21: left voicemail and sent GV text</t>
  </si>
  <si>
    <t>JS 4/8 could not leave VM, sent text</t>
  </si>
  <si>
    <t>AC 4/20 sent text</t>
  </si>
  <si>
    <t>DC Called 2x 12:50 and 1:00 VM box full,xsent tc</t>
  </si>
  <si>
    <t>NC called, voicemail, texted</t>
  </si>
  <si>
    <t>AS 2/8 left text and VM</t>
  </si>
  <si>
    <t>NZ 2/22 left vm and text</t>
  </si>
  <si>
    <t>JS 4/8 left VM and sent text</t>
  </si>
  <si>
    <t>DC Called 1:05 VM left, sent tx</t>
  </si>
  <si>
    <t>AC 3/22 sent text</t>
  </si>
  <si>
    <t>NZ 4/19 confirmed delivery</t>
  </si>
  <si>
    <t>NZ 2/9 confirmed</t>
  </si>
  <si>
    <t>JO, LT confirmed via call 2/24</t>
  </si>
  <si>
    <t>AC 3/22 phone number not working for call or text</t>
  </si>
  <si>
    <t>JS 4/8 confirmed via call</t>
  </si>
  <si>
    <t>LM 4/6 confirmed via call</t>
  </si>
  <si>
    <t>AC 3/22 confirmed via text</t>
  </si>
  <si>
    <t>KT 4/20 confirmed via text</t>
  </si>
  <si>
    <t>AS 2/8 confirmed via call</t>
  </si>
  <si>
    <t>NZ 2/22 confirmed delivery</t>
  </si>
  <si>
    <t>TW 3/22: confirmed delivery</t>
  </si>
  <si>
    <t>NV 4/20 confirmed for 4/22 and 5/6</t>
  </si>
  <si>
    <t>TW 3/22: does not want delivery on 3/25</t>
  </si>
  <si>
    <t>LM confirmed via call 4/20</t>
  </si>
  <si>
    <t>BL 3/22 left vm and sent text</t>
  </si>
  <si>
    <t>LE 4/6 CONFIRMED wants delivery</t>
  </si>
  <si>
    <t>Dennis (formerly Sparrow), Leslie</t>
  </si>
  <si>
    <t>NZ 2/9 could not hear her over phone, left text</t>
  </si>
  <si>
    <t>LT, did not want delivery 2/24</t>
  </si>
  <si>
    <t>LT confirmed through call 2/24</t>
  </si>
  <si>
    <t>KD confirmed</t>
  </si>
  <si>
    <t>Skip for this week</t>
  </si>
  <si>
    <t>NZ 2/22 confirmed, WANTS FRESH FRUIT also she is Muslim, adhere to religious dietary restrictions</t>
  </si>
  <si>
    <t>TW 3/22: confirmed delivery, WANTS FRESH FRUIT (tomato, berries), adhere to Muslim dietary laws (halal)</t>
  </si>
  <si>
    <t>DC Called 1:25 Confirmed 05/04</t>
  </si>
  <si>
    <t>Vijay Anne confirm 4/15 and 4/29</t>
  </si>
  <si>
    <t>1/24 FR confirmed via DMC</t>
  </si>
  <si>
    <t>PR: Could not leave a VM, left a TEXT 2/25</t>
  </si>
  <si>
    <t>PR left a voicemail and sent text</t>
  </si>
  <si>
    <t>LM 4/6 does not want produce this week</t>
  </si>
  <si>
    <t>CF left voicemail and text 4/20</t>
  </si>
  <si>
    <t>EK 4/4 left text (VM box full)</t>
  </si>
  <si>
    <t>PR 1/25 confirmed delivery</t>
  </si>
  <si>
    <t>KC: Confirmed 2/24</t>
  </si>
  <si>
    <t>Rita Glazer confirm 4/22 and 5/6</t>
  </si>
  <si>
    <t>PR 1/26 confirmed via text</t>
  </si>
  <si>
    <t>1/25 KG confirmed delivery via call</t>
  </si>
  <si>
    <t>PR Confirmed 2/25 via call</t>
  </si>
  <si>
    <t>PR: Confirmed for 3/11 via call</t>
  </si>
  <si>
    <t>EK could not leave a voicemail but left a text message</t>
  </si>
  <si>
    <t>LM 4/6 confirmed via call. mainly speaks spanish</t>
  </si>
  <si>
    <t>EK 4/4 left text (VM unavailable)</t>
  </si>
  <si>
    <t>PR 1/26 - confirmed via text</t>
  </si>
  <si>
    <t>3/23 PR said no because they will be out of town for the next two weeks</t>
  </si>
  <si>
    <t>LM 4/6 confirmed over text</t>
  </si>
  <si>
    <t>CF confirmed via phone 4/20</t>
  </si>
  <si>
    <t>3/23 PR Confirmed via phone</t>
  </si>
  <si>
    <t>Lopez Orozco, Sofia Belen (Mother's name Pabla Valentina Orozco Cinto)</t>
  </si>
  <si>
    <t>B22B0</t>
  </si>
  <si>
    <t>EK confirmed via text; address changed from 1315 Morreene Rd #22G to 701 Bacon St</t>
  </si>
  <si>
    <t>CF confirmed via text 4/20</t>
  </si>
  <si>
    <t>JF confirmed via text 4/19</t>
  </si>
  <si>
    <t xml:space="preserve">Garcia, Ale Salu </t>
  </si>
  <si>
    <t>PR: Confirmed for 2/25 via call</t>
  </si>
  <si>
    <t>JF confirmed via DMC 4/19</t>
  </si>
  <si>
    <t>AS 2/16 user busy, left text</t>
  </si>
  <si>
    <t>JZ 3/2: Left a text</t>
  </si>
  <si>
    <t>JO 03/09: sent GV text</t>
  </si>
  <si>
    <t>BL 3/15 confirmed via call</t>
  </si>
  <si>
    <t>VA: 4/12 confirmed via text</t>
  </si>
  <si>
    <t>AS 2/1 left VM/text</t>
  </si>
  <si>
    <t>Rita Glazer (please confirm for 2/11 and 2/25)</t>
  </si>
  <si>
    <t>TW 2/15: left VM and sent text</t>
  </si>
  <si>
    <t>IM 3/7: Leave at the rear and near the basement</t>
  </si>
  <si>
    <t>Ishaan Maitra (please update for column 3/11 and 3/25)</t>
  </si>
  <si>
    <t>BL 4/28 left vm + txt</t>
  </si>
  <si>
    <t>KT 5/4 confirmed via text</t>
  </si>
  <si>
    <t>JS 3/25: left VM and sent text, confirmed via text</t>
  </si>
  <si>
    <t>VA: 4/6 confirmed via text</t>
  </si>
  <si>
    <t>ES 4/19: confirmed via text (requested spices)</t>
  </si>
  <si>
    <t>KD NO delivery 1/28</t>
  </si>
  <si>
    <t>KD confirmed - note address change</t>
  </si>
  <si>
    <t>SU: VM full, texted with no response</t>
  </si>
  <si>
    <t>RS 3/22 left VM, sent text</t>
  </si>
  <si>
    <t>LE 4/4 left VM and sent text</t>
  </si>
  <si>
    <t>MG: Does not want to recieve this weekend; she is moving (updated address)</t>
  </si>
  <si>
    <t>BL 4/20 left VM</t>
  </si>
  <si>
    <t>MY 2/23 confirmed</t>
  </si>
  <si>
    <t>B206D</t>
  </si>
  <si>
    <t xml:space="preserve">RS 2/22 confirmed delivery </t>
  </si>
  <si>
    <t>VA: 2/23 confirmed</t>
  </si>
  <si>
    <t>3/21 RS confirmed via DMC</t>
  </si>
  <si>
    <t>Dominguez,Avila</t>
  </si>
  <si>
    <t>1/25 and 1/26 KG, called 2 times with no response, left voicemail and text</t>
  </si>
  <si>
    <t>PR: Left a VM and text 2/25</t>
  </si>
  <si>
    <t>PR: Left a VM and text 3/11</t>
  </si>
  <si>
    <t>EK left a voicemail and sent text</t>
  </si>
  <si>
    <t>1/24 FR no response; left VM and text</t>
  </si>
  <si>
    <t>1/25 KG confirmed delivery, changed household size from 4 to 5</t>
  </si>
  <si>
    <t>1/25 KG confirmed delivery, changed household size to 5</t>
  </si>
  <si>
    <t>TW 2/15: confirmed delivery via text, does not speak English, happy to get reminder and survey</t>
  </si>
  <si>
    <t>CF left voicemail and Text 3/28</t>
  </si>
  <si>
    <t>CF confirmed via call</t>
  </si>
  <si>
    <t>Rita Glazer confirmed via text</t>
  </si>
  <si>
    <t>ML confirmed via call 2/15</t>
  </si>
  <si>
    <t>Megan Liu (update both 2/18 and 3/4 column)</t>
  </si>
  <si>
    <t>RS confirmed via DMC 2/28</t>
  </si>
  <si>
    <t>JF confirmed via text 4/19: she said she didn't recieve her food last time because they couldn't find the address and delivered to wrong address</t>
  </si>
  <si>
    <t xml:space="preserve">KF 5/12 confirmed via call </t>
  </si>
  <si>
    <t>AS 5/11 confirmed via call</t>
  </si>
  <si>
    <t>Kyle Coaker 4/29, 5/13</t>
  </si>
  <si>
    <t>AS 5/11 confirmed via text</t>
  </si>
  <si>
    <t>wrong number; TS updated 4/15 to try again next time</t>
  </si>
  <si>
    <t>RW no VM, left text 4/21</t>
  </si>
  <si>
    <t>BL 4/28 no answer left vm + text</t>
  </si>
  <si>
    <t>TS 5/12 confirmed</t>
  </si>
  <si>
    <t>left text PR</t>
  </si>
  <si>
    <t>JZ 2/16 left text</t>
  </si>
  <si>
    <t>AW: mailbox full, sent text</t>
  </si>
  <si>
    <t>MG: Mailbox full; sent text 3/16</t>
  </si>
  <si>
    <t>RS 3/30 VM not set up, sent text</t>
  </si>
  <si>
    <t>BL sent GV 4/12</t>
  </si>
  <si>
    <t xml:space="preserve">TS 4/28 number not receiving calls but sent text </t>
  </si>
  <si>
    <t>KF 5/12 not accepting calls, sent text</t>
  </si>
  <si>
    <t>ER 1/18 confirmed delivery</t>
  </si>
  <si>
    <t>LT confirmed via call</t>
  </si>
  <si>
    <t>VA: 3/2 can't accept calls, sent text</t>
  </si>
  <si>
    <t>RS 2/3 confirmed delivery</t>
  </si>
  <si>
    <t>JO 02/16: left voicemail and sent GV text</t>
  </si>
  <si>
    <t>JO 03/02: left voicemail and sent GV text</t>
  </si>
  <si>
    <t>VA: 3/16 confirmed via text</t>
  </si>
  <si>
    <t>JO 03/30: left GV text</t>
  </si>
  <si>
    <t xml:space="preserve">DB 4/13: left vm and sent text </t>
  </si>
  <si>
    <t>LT called and left VM</t>
  </si>
  <si>
    <t>KF 5/12 left VM &amp; sent text</t>
  </si>
  <si>
    <t>VA: 1/20 left VM, sent text</t>
  </si>
  <si>
    <t xml:space="preserve">MY 2/2: left vm and text </t>
  </si>
  <si>
    <t>JO 02/16: sent GV text</t>
  </si>
  <si>
    <t>Ese Atakpu (please update for column 3/18 and 4/1)</t>
  </si>
  <si>
    <t>ER 1/18 Left VM, sent text</t>
  </si>
  <si>
    <t>JO 02/16: confirmed by call</t>
  </si>
  <si>
    <t>AW: sorry Rachel, I called this pt, confirmed.</t>
  </si>
  <si>
    <t>AW 3/1, confirmed</t>
  </si>
  <si>
    <t>BL 3/30/23 left vm text</t>
  </si>
  <si>
    <t>Matthew Gray confirm 4/15 and 4/29</t>
  </si>
  <si>
    <t>F93F4</t>
  </si>
  <si>
    <t>OS left vm &amp; text</t>
  </si>
  <si>
    <t>JO 02/16: confirmed via GV text</t>
  </si>
  <si>
    <t>JS 4/1: left VM and text</t>
  </si>
  <si>
    <t>NZ 4/27 left vm and text</t>
  </si>
  <si>
    <t>VA: 5/11 confirmed via text</t>
  </si>
  <si>
    <t>ER confirmed delivery for 2/4, would like food left on bottom step</t>
  </si>
  <si>
    <t>MY 2/23: left text.</t>
  </si>
  <si>
    <t>AW 3/1, sorry Tianrui I called this pt, Confirmed</t>
  </si>
  <si>
    <t>VA: 3/30 VM not set up, sent text</t>
  </si>
  <si>
    <t>DB 4/13: confirmed via text for 4/15</t>
  </si>
  <si>
    <t>VA: 5/11 confirmed</t>
  </si>
  <si>
    <t>LT called, left VM</t>
  </si>
  <si>
    <t>NV 2/16 left VM and sent text message</t>
  </si>
  <si>
    <t>AC 3/2 left VM and sent text</t>
  </si>
  <si>
    <t>TW 3/15: call cannot go through, sent text message</t>
  </si>
  <si>
    <t>RS 3/30 left VM</t>
  </si>
  <si>
    <t>TS 4/28 skip this week</t>
  </si>
  <si>
    <t>VA: 5/11 left VM</t>
  </si>
  <si>
    <t>SP 1/18 Left VM, sent txt</t>
  </si>
  <si>
    <t>BL 2/1 called and sent txt</t>
  </si>
  <si>
    <t>TW 3/15: left voice mail, sent text message</t>
  </si>
  <si>
    <t>RS 3/30 left VM, sent text</t>
  </si>
  <si>
    <t>BL confirmed via GV 4/12</t>
  </si>
  <si>
    <t>VA: 5/11 left VM, sent text</t>
  </si>
  <si>
    <t>AC 1/18 VM not set up, sent text</t>
  </si>
  <si>
    <t>BL 1/31 called and sent txt</t>
  </si>
  <si>
    <t>NV 2/16 Vm not set up, sent text message</t>
  </si>
  <si>
    <t>JO 03/02: sent GV text</t>
  </si>
  <si>
    <t>TW 3/15: voice mail not set up, sent text message</t>
  </si>
  <si>
    <t>VA: 4/13 VM full, sent text</t>
  </si>
  <si>
    <t>VA: 4/21 doesn't want deliveries anymore (pause)</t>
  </si>
  <si>
    <t>VA: 5/11 VM not set up, sent text</t>
  </si>
  <si>
    <t>JS 3/25: Confirmed by call</t>
  </si>
  <si>
    <t>LM confirmed 5/12</t>
  </si>
  <si>
    <t>AS 5/11 confirmed via text, requests eggs, tomatoes, bananas, potatoes, onions</t>
  </si>
  <si>
    <t>ML 1/18 confirmed via call</t>
  </si>
  <si>
    <t>EG 2/1 confirmed via call</t>
  </si>
  <si>
    <t>EK 3/2 confirmed via text</t>
  </si>
  <si>
    <t>AS 3/29 left text</t>
  </si>
  <si>
    <t>LT sent text 4/28</t>
  </si>
  <si>
    <t>AS 1/18 comfirmed via call</t>
  </si>
  <si>
    <t>RJ Wardell, LT confirmed through call</t>
  </si>
  <si>
    <t>AS 3/1 confirmed via call</t>
  </si>
  <si>
    <t>PR 3/28 Confirmed via call</t>
  </si>
  <si>
    <t>AS 1/18 left text and VM</t>
  </si>
  <si>
    <t>RJ Wardell, LT VM and text</t>
  </si>
  <si>
    <t>AS 3/1 left text and VM</t>
  </si>
  <si>
    <t>PR 3/28 ENDED THE CALL ON ME</t>
  </si>
  <si>
    <t>JF 3/13 called and doesn't want deliveries either week</t>
  </si>
  <si>
    <t>AS 4/27 no delivery this week, won't be at home</t>
  </si>
  <si>
    <t>AS 5/11 works out of town on weekend so can't get delivery</t>
  </si>
  <si>
    <t>Elaijah confirmed</t>
  </si>
  <si>
    <t>AS 5/11 confirmed via call, note the address change</t>
  </si>
  <si>
    <t>VA: 1/20 could not complete call, sent text</t>
  </si>
  <si>
    <t>RS 2/16 could not complete call</t>
  </si>
  <si>
    <t xml:space="preserve">TS confirmed 2/25 </t>
  </si>
  <si>
    <t>RS confirmed via DMC 3/28</t>
  </si>
  <si>
    <t>LT confirmed via DMC 4/11/23</t>
  </si>
  <si>
    <t>LT confirmed via DMC 5/9</t>
  </si>
  <si>
    <t>LT called, disconnected</t>
  </si>
  <si>
    <t>JZ 2/16 left VM and text</t>
  </si>
  <si>
    <t>LM 3/30: left VM and text</t>
  </si>
  <si>
    <t>LM 3/30: confirmed via txt</t>
  </si>
  <si>
    <t>EK 4/27 left VM and text</t>
  </si>
  <si>
    <t>SP 1/18 confirmed delivery</t>
  </si>
  <si>
    <t>BL 2/1 skip 2/4 delivery confirmed via call</t>
  </si>
  <si>
    <t>BL 2/1 confirmed via call</t>
  </si>
  <si>
    <t>TW 3/29: confirmed delivery, delay to next week 4/8</t>
  </si>
  <si>
    <t>TW 3/29: confirmed delivery, delay to next week 4/22</t>
  </si>
  <si>
    <t>MY 4/28: would like to switch deliveries to 5/6, 5/20.</t>
  </si>
  <si>
    <t>ER, LT confirmed via call 2/24</t>
  </si>
  <si>
    <t>JO 03/09: confirmed by call</t>
  </si>
  <si>
    <t>VA: 1/20 confirmed</t>
  </si>
  <si>
    <t>MY 2/2: delivery confirmed</t>
  </si>
  <si>
    <t>RS 2/16 confirmed delivery</t>
  </si>
  <si>
    <t>TW 3/1: phone number Not in Service, landline no response. Sent text to mobile, but didn't expect response</t>
  </si>
  <si>
    <t>TS 4/28 confirmed</t>
  </si>
  <si>
    <t>MY 2/2: delivery confirmed, hand-sanitizer if possible.</t>
  </si>
  <si>
    <t>RS 3/2: confirmed delivery; pt asked for hand sanitizer or soap</t>
  </si>
  <si>
    <t>RS 3/2: confirmed delivery</t>
  </si>
  <si>
    <t>LT confirmed via call 4/28</t>
  </si>
  <si>
    <t>LT called, voice mail full</t>
  </si>
  <si>
    <t>AC 3/2 could not reach, VM box full, invalid number text</t>
  </si>
  <si>
    <t>AC 3/5 confirmed delivery</t>
  </si>
  <si>
    <t>NZ 4/27 confirmed delivery</t>
  </si>
  <si>
    <t xml:space="preserve">MY 2/2: delivery confirmed </t>
  </si>
  <si>
    <t>RS 2/16 confirmed delivery - please call when on way</t>
  </si>
  <si>
    <t>RS 3/2: pt hung up</t>
  </si>
  <si>
    <t>DB 4/13: confirmed via PC for 4/15</t>
  </si>
  <si>
    <t>OS Confirmed</t>
  </si>
  <si>
    <t>RS 2/3 left VM</t>
  </si>
  <si>
    <t>JZ 2/16; patient confirmed via text</t>
  </si>
  <si>
    <t>AW: mailbox full, can't send text</t>
  </si>
  <si>
    <t>TW 3/15: confirmed delivery</t>
  </si>
  <si>
    <t>AC 1/18 confirmed delivery</t>
  </si>
  <si>
    <t>NV 2/16 confirmed delivery for 2/18 and 3/4, home phone number is no longer in service</t>
  </si>
  <si>
    <t>AW: sorry Julie, I called this pt, confirmed</t>
  </si>
  <si>
    <t>LM confirmed via call</t>
  </si>
  <si>
    <t>RS 1/30 confirmed via DMC</t>
  </si>
  <si>
    <t>NV 3/2 left VM and sent text, confirmed 3/4 via text</t>
  </si>
  <si>
    <t>MG: Confirmed 3/16</t>
  </si>
  <si>
    <t>VA: 3/28 confirmed via text</t>
  </si>
  <si>
    <t>LM confirmed via txt</t>
  </si>
  <si>
    <t>RS 2/3 no delivery this week, but yes to next week</t>
  </si>
  <si>
    <t>AW 3/1: stated did not receive delivery last week</t>
  </si>
  <si>
    <t>AW confirmed 3/1</t>
  </si>
  <si>
    <t>VA: 3/30 confirmed</t>
  </si>
  <si>
    <t>A200A</t>
  </si>
  <si>
    <t>KG 2/3 confirmed via call</t>
  </si>
  <si>
    <t>NV 3/2 confirmed 3/4 delivery, was not happy that her eggs/food was brought in without a bag last time (she wants all produce including eggs bagged to prevent germs from getting on the food)</t>
  </si>
  <si>
    <t>NV 3/2 confirmed 3/18 delivery, was not happy that her eggs/food was brought in without a bag last time (she wants all produce including eggs bagged to prevent germs from getting on the food)</t>
  </si>
  <si>
    <t>BL 3/30/23 confirmed again does NOT want germs in her food and wants everything wrapped</t>
  </si>
  <si>
    <t>RS 2/3 confirmed via DMC</t>
  </si>
  <si>
    <t>VA: 3/2 confirmed via text</t>
  </si>
  <si>
    <t>JS 4/1: confirmed via text</t>
  </si>
  <si>
    <t xml:space="preserve">JS 4/1: confirmed via text </t>
  </si>
  <si>
    <t>LT confirmed via DMC 4/28</t>
  </si>
  <si>
    <t>Hopkins,Christopher</t>
  </si>
  <si>
    <t>JS 4/1: confirmed delivery</t>
  </si>
  <si>
    <t>EK 4/27 confirmed via phone</t>
  </si>
  <si>
    <t>AC 2/14, confirmed delivery; she asks that we drop off bag at the back door, also do not park in front of house because it is very dangerous due to I-85 on ramp traffic, turn into driveway it is safer to continue towards Knox St</t>
  </si>
  <si>
    <t>TW 2/22: left VM and sent text</t>
  </si>
  <si>
    <t>JS 4/1: confirmed delivery (READ PHONE DETAILS)</t>
  </si>
  <si>
    <t>TW 2/15: confirmed delivery</t>
  </si>
  <si>
    <t>LM 3/30: confirmed via call</t>
  </si>
  <si>
    <t>TW 3/29: confirmed delivery with caregiver</t>
  </si>
  <si>
    <t xml:space="preserve">MY 4/28: confirmed delivery. </t>
  </si>
  <si>
    <t>MY 4/28: confirmed delivery.</t>
  </si>
  <si>
    <t>09A26</t>
  </si>
  <si>
    <t>ERL: 1/31 confirmed (Came to RC Sat 1/21 to get re-enrolled with new address and phone number)</t>
  </si>
  <si>
    <t>RS 2/16 confirmed delivery - address may change</t>
  </si>
  <si>
    <t>AW: Requested a call-back</t>
  </si>
  <si>
    <t>TW 3/1: left VM and sent text</t>
  </si>
  <si>
    <t>Please confirm address</t>
  </si>
  <si>
    <t>MY 4/28: confirmed delivery, no black beans, peanut butter if in stock.</t>
  </si>
  <si>
    <t xml:space="preserve">MY 4/28: confirmed delivery, no black beans, peanut butter in stock. </t>
  </si>
  <si>
    <t>AC 1/19 confirmed by text, she sent this (new?) number 9194916659</t>
  </si>
  <si>
    <t>BL 1/31 confirmed via call with new number 9194916659</t>
  </si>
  <si>
    <t>KT Confirmed 4/27 via Text</t>
  </si>
  <si>
    <t>NV 3/3 confirmed</t>
  </si>
  <si>
    <t>RS confirmed via DMC 3/14</t>
  </si>
  <si>
    <t>KT Confirmed 4/27 via call</t>
  </si>
  <si>
    <t>KG 2/4 confirmed via text</t>
  </si>
  <si>
    <t>NV 3/30 left VM and sent text</t>
  </si>
  <si>
    <t>LT confirmed via DMC 4/25/23</t>
  </si>
  <si>
    <t>NV 3/2 could not leave VM as VM is full, sent text message, confirmed 3/4 delivery via text</t>
  </si>
  <si>
    <t>LT confirmed 3/31</t>
  </si>
  <si>
    <t>NV 3/30 confirmed delivery only for 4/1 (requested for us to call before drop off food on Saturday),  asked to call later for 4/15 as can not confirm right now, please note address has been updated (patient moved recently)</t>
  </si>
  <si>
    <t>BL 1/31 confirmed via text</t>
  </si>
  <si>
    <t>NV 3/30 confirmed delivery for 4/1 and 4/15 after talking with daughter</t>
  </si>
  <si>
    <t>Just 1/21 confirmed</t>
  </si>
  <si>
    <t>KG 2/3 left voicemail and text</t>
  </si>
  <si>
    <t>JZ 2/16 patient confirmed via text</t>
  </si>
  <si>
    <t>AW 3/1: confirmed, pt does not speak English</t>
  </si>
  <si>
    <t>NV 3/30 confirmed delivery for 4/1 and 4/15, will not be home between 10am-3pm so requested delivery be left outside door</t>
  </si>
  <si>
    <t xml:space="preserve">AC 1/18 VM confirmed by text, if she doesn't answer the door, just place the bag on the table or in the chair by the door. </t>
  </si>
  <si>
    <t>AW 3/1: confirmed via text</t>
  </si>
  <si>
    <t>NV 3/30 confirmed delivery 4/1 and 4/15, patient asked that food be left on chair by door if not home (she will be out early morning due to grandaughter's dance practice)</t>
  </si>
  <si>
    <t>KG 2/3 confirmed via call, said to leave food outside door if hes not there</t>
  </si>
  <si>
    <t xml:space="preserve">
ER 1/18 confirmed delivery for 1/21 and 2/4, she wants female wipes and soap if any available</t>
  </si>
  <si>
    <t>AC 1/18 confirmed by text</t>
  </si>
  <si>
    <t>TW 3/29: confirmed delivery</t>
  </si>
  <si>
    <t>left. text PR</t>
  </si>
  <si>
    <t>JZ 2/16; patient confirmed via call</t>
  </si>
  <si>
    <t>BL confirmed  4/28 via call</t>
  </si>
  <si>
    <t>AS 1/18 confirmed via text</t>
  </si>
  <si>
    <t>RJ Wardell, LT call disconnected</t>
  </si>
  <si>
    <t>AS 3/1 confirmed via text</t>
  </si>
  <si>
    <t>PR 3/29 Confirmed via text</t>
  </si>
  <si>
    <t>LT confirmed via text 4/28</t>
  </si>
  <si>
    <t>7EBA2</t>
  </si>
  <si>
    <t>RJ Wardell, LT confirmed through text</t>
  </si>
  <si>
    <t>EG 2/1 confirmed via text</t>
  </si>
  <si>
    <t>EK 3/2 confirmed via call</t>
  </si>
  <si>
    <t>ML 1/18 confirmed via text</t>
  </si>
  <si>
    <t xml:space="preserve">AS 3/29 confirmed via call </t>
  </si>
  <si>
    <t>AS 4/27 confirmed via call</t>
  </si>
  <si>
    <t>AS 4/27 confirmed via text</t>
  </si>
  <si>
    <t>Zamor, Alba Leticia</t>
  </si>
  <si>
    <r>
      <rPr>
        <sz val="10"/>
        <color rgb="FF000000"/>
        <rFont val="Calibri"/>
        <family val="2"/>
      </rPr>
      <t xml:space="preserve">EG 2/1 confirmed via call - </t>
    </r>
    <r>
      <rPr>
        <b/>
        <sz val="10"/>
        <color rgb="FF000000"/>
        <rFont val="Calibri"/>
        <family val="2"/>
      </rPr>
      <t>said to leave on doorstep if they are not home</t>
    </r>
  </si>
  <si>
    <r>
      <rPr>
        <sz val="10"/>
        <color rgb="FF000000"/>
        <rFont val="Calibri"/>
        <family val="2"/>
      </rPr>
      <t xml:space="preserve">EK 3/2 confirmed via call - </t>
    </r>
    <r>
      <rPr>
        <b/>
        <sz val="10"/>
        <color rgb="FF000000"/>
        <rFont val="Calibri"/>
        <family val="2"/>
      </rPr>
      <t>said to leave on doorstep if they are not home</t>
    </r>
  </si>
  <si>
    <t>AS 3/29 repeat on the sheet</t>
  </si>
  <si>
    <t>JF 3/13 confirmed by text</t>
  </si>
  <si>
    <t>AS 4/27 confirmed, but same family as Alba Leticia Zamor</t>
  </si>
  <si>
    <t>AC 2/14 confirmed delivery; does not speak English</t>
  </si>
  <si>
    <t>Ek 3/2 confirmed via text</t>
  </si>
  <si>
    <t>Jose Zarate: 4/28 confirmed</t>
  </si>
  <si>
    <t>LT 2/14 confirmed via DMC</t>
  </si>
  <si>
    <t>NV 3/16 left VM and sent text</t>
  </si>
  <si>
    <t>MG Left VM and sent text 3/30</t>
  </si>
  <si>
    <t>ER left VM and sent text 4/15</t>
  </si>
  <si>
    <t>NV 4/27 sent text message and left VM</t>
  </si>
  <si>
    <t>LM left msg 5/12</t>
  </si>
  <si>
    <t>VA: 2/16 confirmed via call, will move soon</t>
  </si>
  <si>
    <t>BL 3/2 sent text</t>
  </si>
  <si>
    <t>Rachel Solecki (please update for column 3/18 and 4/1)</t>
  </si>
  <si>
    <t>ER left VM and sent text 3/30</t>
  </si>
  <si>
    <t>AC text sent 4/12 and 4/13</t>
  </si>
  <si>
    <t>CG 01/19 left SMS</t>
  </si>
  <si>
    <t>JO 02/02 left GV text</t>
  </si>
  <si>
    <t>BL 2/15 left GV text</t>
  </si>
  <si>
    <t>Mr. Walker hung up on me. I got his new phone number from the other number (his father? says in call notes) we had on file. That person wants to be added to our patient list. He's planning to call me back with his information at the end of the day today</t>
  </si>
  <si>
    <t>TM:  4/27 1:30 pm Left voicemail and text</t>
  </si>
  <si>
    <t>Dipti 5/13, 5/27</t>
  </si>
  <si>
    <t>TO 01/19 confirmed via call, would like feminie products also</t>
  </si>
  <si>
    <t>TO 01/19 confirmed via call</t>
  </si>
  <si>
    <t>VA: 2/16 confirmed</t>
  </si>
  <si>
    <t>JO 03/16: sent GV text</t>
  </si>
  <si>
    <t>MG: Confirmed 3/30</t>
  </si>
  <si>
    <t xml:space="preserve">
ER 4/15 left VM and sent text </t>
  </si>
  <si>
    <t>KT Confirmed 4/27 Via call</t>
  </si>
  <si>
    <t>CG 01/19 did not answer (no SMS or voicemail)</t>
  </si>
  <si>
    <t>JO 02/02 left voicemail and GV text</t>
  </si>
  <si>
    <t>BL 2/15 called, left GV text and voicemai</t>
  </si>
  <si>
    <t>BL 3/2 called, left GV text and voicemai</t>
  </si>
  <si>
    <t>LM 4/13 left VM &amp; texted</t>
  </si>
  <si>
    <t>NV 4/27 confirmed delivery 4/29</t>
  </si>
  <si>
    <t>AW 5/11 left VM</t>
  </si>
  <si>
    <t>ER left VM and sent text</t>
  </si>
  <si>
    <t>MY 2/16: vm full, left text.</t>
  </si>
  <si>
    <t>ER 3/1: sent text and left VM</t>
  </si>
  <si>
    <t>JS 3/8: confirmed via call</t>
  </si>
  <si>
    <t>AW 5/11 VM full, sent text</t>
  </si>
  <si>
    <t>KC confirmed next weeek</t>
  </si>
  <si>
    <t>JF 2/1: call dropped therefore sent text</t>
  </si>
  <si>
    <t>PR: confirmed via text 2/18</t>
  </si>
  <si>
    <t>PR: confirmed via text 3/4</t>
  </si>
  <si>
    <t>ES: left a text 3/29</t>
  </si>
  <si>
    <t>AS 4/12 left text</t>
  </si>
  <si>
    <t>TS texted 4/28</t>
  </si>
  <si>
    <t>AS 5/11 left text</t>
  </si>
  <si>
    <t>FR 1/19 confirmed</t>
  </si>
  <si>
    <t>PR confirmed 2/18 via call</t>
  </si>
  <si>
    <t>PR confirmed 3/4 via call</t>
  </si>
  <si>
    <t>PR Confirmed 3/17</t>
  </si>
  <si>
    <t>CF 5/10 sent voicemail and text</t>
  </si>
  <si>
    <t>NV 1/20 confirmed via text</t>
  </si>
  <si>
    <t>CM 2/1 confirmed via call</t>
  </si>
  <si>
    <t>ER: 2/16 confirmed</t>
  </si>
  <si>
    <t>VA: 3/15 left VM, sent text</t>
  </si>
  <si>
    <t>KT 4/27 left VM and text</t>
  </si>
  <si>
    <t>TO 01/19 call could not be completed; unable to leave voicemail</t>
  </si>
  <si>
    <t>BL 2/15 call wouldn't go through, left GV text</t>
  </si>
  <si>
    <t>BL 3/2 call wouldn't go through, left GV text</t>
  </si>
  <si>
    <t>LM 4/13 call didn't go through. Unable to leave VM</t>
  </si>
  <si>
    <t>TM: 4/27 Call did not go through (TS 4/27 updated phone number to try again next week)</t>
  </si>
  <si>
    <t>Backup: KB: Call couldn't be completed</t>
  </si>
  <si>
    <t>VA: 3/15 confirmed</t>
  </si>
  <si>
    <t>MY 4/13: left vm and text.</t>
  </si>
  <si>
    <t>KT confirmed 5/9 via phone</t>
  </si>
  <si>
    <t>5A1C9</t>
  </si>
  <si>
    <t>AC 3/15 confirmed by text</t>
  </si>
  <si>
    <t>KT 4/13 left text, no VM box</t>
  </si>
  <si>
    <t>AS 4/27 left text</t>
  </si>
  <si>
    <t>KT 5/9 left text</t>
  </si>
  <si>
    <t>RG confirmed will be out of town this week</t>
  </si>
  <si>
    <t>AC confirmed via text 4/12</t>
  </si>
  <si>
    <t>CG 01/19 left SMS and voicemail</t>
  </si>
  <si>
    <t>SL: 3/15 confirmed</t>
  </si>
  <si>
    <t>LM 4/13 confirmed via call</t>
  </si>
  <si>
    <t>Kingston Lacewell</t>
  </si>
  <si>
    <t>Backup KB: Left message</t>
  </si>
  <si>
    <t>TW 4/12: confirmed delivery</t>
  </si>
  <si>
    <t>NZ 5/11 confirmed</t>
  </si>
  <si>
    <t xml:space="preserve">Gagum, Kenneth </t>
  </si>
  <si>
    <t>RS confirmed via DMC 1/34</t>
  </si>
  <si>
    <t>VA: 2/16 won't be in town</t>
  </si>
  <si>
    <r>
      <rPr>
        <sz val="10"/>
        <color theme="1"/>
        <rFont val="Calibri"/>
        <family val="2"/>
      </rPr>
      <t xml:space="preserve">JO 03/16: </t>
    </r>
    <r>
      <rPr>
        <b/>
        <sz val="10"/>
        <color theme="1"/>
        <rFont val="Calibri"/>
        <family val="2"/>
      </rPr>
      <t>said will not be home for delivery</t>
    </r>
  </si>
  <si>
    <t>JO 03/16: confirmed by call</t>
  </si>
  <si>
    <t xml:space="preserve">MY 4/13: confirmed delivery. </t>
  </si>
  <si>
    <t>CM  2/1 confirmed via cal</t>
  </si>
  <si>
    <t>FA161</t>
  </si>
  <si>
    <t>AS 2/16 confirmed via text</t>
  </si>
  <si>
    <t>KT 4/13 confirmed via text</t>
  </si>
  <si>
    <t>BL 5/11 sent text and vm</t>
  </si>
  <si>
    <t xml:space="preserve">TO 01/19 confirmed via call; would like to receive household items; no kale greens; asked about phillip who connected him to FPP but lost his number </t>
  </si>
  <si>
    <t>TO 01/19 confirmed via call; would like to receive household items; no kale greens; asked about phillip who connected him to FPP but lost his number</t>
  </si>
  <si>
    <t>TO confirmed 4/14 via text</t>
  </si>
  <si>
    <t>TO confirmed 5/9</t>
  </si>
  <si>
    <t>Backup KB: Confirmed</t>
  </si>
  <si>
    <t>KT 4/13 confirmed via call</t>
  </si>
  <si>
    <t>NV 3/16 left VM and sent text , confirmed delivery 3/18 and 4/1</t>
  </si>
  <si>
    <t>KT confirmed 5/9 via text</t>
  </si>
  <si>
    <t>6CFB1</t>
  </si>
  <si>
    <t>NV 3/16 went straight to VM, left VM and sent text message, confirm delivery for 3/18 and 4/1 via text</t>
  </si>
  <si>
    <t>NV 3/16 went straight to VM, left VM and sent text message, confirmed delivery for 3/18 and 4/1 via text</t>
  </si>
  <si>
    <t>AW confirmed 5/11</t>
  </si>
  <si>
    <t>CM  2/2 confirmed via call</t>
  </si>
  <si>
    <t>AW confirmed 5/11, please call before delivery</t>
  </si>
  <si>
    <t>27CB1</t>
  </si>
  <si>
    <t>FR 1/19 patient wants food in future weeks but not this one.</t>
  </si>
  <si>
    <t>JF 2/1: confirmed via text</t>
  </si>
  <si>
    <t>Left a text since VM was not active PR 3/17</t>
  </si>
  <si>
    <t>ES: no delivery this week 3/29</t>
  </si>
  <si>
    <t>AS 4/12 confirmed via call</t>
  </si>
  <si>
    <t>AS 5/11 no delivery this week</t>
  </si>
  <si>
    <t>Jade Lopez</t>
  </si>
  <si>
    <t>FR 1/19 No response; left VM and text</t>
  </si>
  <si>
    <t>JF 2/1: left voicemail and sent text</t>
  </si>
  <si>
    <t>ES: left a text and VM 3/29</t>
  </si>
  <si>
    <t>CM cinfirmed via text</t>
  </si>
  <si>
    <t>ES: confirmed 3/29</t>
  </si>
  <si>
    <t>CM: confirmed via text 3/30</t>
  </si>
  <si>
    <t>CF 4/13 confrimed via call</t>
  </si>
  <si>
    <t>CF 4/13 confirmed via text</t>
  </si>
  <si>
    <t>CF 4/13 left text</t>
  </si>
  <si>
    <t>KC confirmed</t>
  </si>
  <si>
    <t>CM: confirmed via call 3/30</t>
  </si>
  <si>
    <t>CM:confirmed via call 3/30</t>
  </si>
  <si>
    <t>CF 5/10 confirmed via call</t>
  </si>
  <si>
    <t>CF confirmed via call 3/28</t>
  </si>
  <si>
    <t>JDB confirmed via call</t>
  </si>
  <si>
    <t>CF 5/10 confirmed via text</t>
  </si>
  <si>
    <t>RS confirmed via DMC</t>
  </si>
  <si>
    <t xml:space="preserve">Serrano, Noemi Orellana </t>
  </si>
  <si>
    <t>KC: confirmed 2/16 (changed household # to 4)</t>
  </si>
  <si>
    <t>KC: confirmed 2/16</t>
  </si>
  <si>
    <t xml:space="preserve">KC: confirmed 2/16  </t>
  </si>
  <si>
    <t>KC: confirmed 2/16 (changed household # to 6)</t>
  </si>
  <si>
    <t>JS 3/17: am not comfortable speaking Spanish</t>
  </si>
  <si>
    <t xml:space="preserve">ML confirmed via text 2/15 </t>
  </si>
  <si>
    <t>CF confirmed via text</t>
  </si>
  <si>
    <t>ML left text and VM 21/5</t>
  </si>
  <si>
    <t>ML 2/2 left VM and text</t>
  </si>
  <si>
    <t>NZ 2/16 they want the delivery but they don't speak English!!!</t>
  </si>
  <si>
    <t>TO 01/19 does not want delivery this week</t>
  </si>
  <si>
    <t>BL 2/15 confirmed via GV text</t>
  </si>
  <si>
    <t xml:space="preserve">CM 2/1 called and left a voice mail </t>
  </si>
  <si>
    <t>Bella Liu (update both 2/18 and 3/4 column)</t>
  </si>
  <si>
    <t>BL confirmed 3/2</t>
  </si>
  <si>
    <t>SL: 3/15 New address is 1209 Naples Pl Apt E, drop off at door is fine</t>
  </si>
  <si>
    <t>LM 4/13 confirmed via text</t>
  </si>
  <si>
    <t>Johnson, Art,or</t>
  </si>
  <si>
    <t>SL 3/16: confirmed by text</t>
  </si>
  <si>
    <t>AC confirmed via text 4/13</t>
  </si>
  <si>
    <t>1CCA1</t>
  </si>
  <si>
    <t>CG 01/19 confirmed via call</t>
  </si>
  <si>
    <t>CG 01/19 confirmed; left SMS and voicemail</t>
  </si>
  <si>
    <t>VA: 3/15 VM full, sent text</t>
  </si>
  <si>
    <t>NV 1/19 left VM and sent text message</t>
  </si>
  <si>
    <t>NV 3/17 confirmed</t>
  </si>
  <si>
    <t>AS 2/1 confirmed via text</t>
  </si>
  <si>
    <t>RG left text/voicemail</t>
  </si>
  <si>
    <t>RW left VM and text 4/21</t>
  </si>
  <si>
    <t>BL 4/29 called too late but wants to be added to 5/13</t>
  </si>
  <si>
    <t>BL 4/29 confirmed via call</t>
  </si>
  <si>
    <t>EK left VM and text</t>
  </si>
  <si>
    <t>NV 4/20 left VM and sent text</t>
  </si>
  <si>
    <t>BL confirmed  4/28 via call would like apples and grapes</t>
  </si>
  <si>
    <t>ER confirmed 3/30</t>
  </si>
  <si>
    <t>A2427</t>
  </si>
  <si>
    <t>KC 01/19 left VM</t>
  </si>
  <si>
    <t>KC: Confimred 03/23</t>
  </si>
  <si>
    <t>Skip LT DMC 5/9</t>
  </si>
  <si>
    <t xml:space="preserve">JF: confirmed delivery via phone </t>
  </si>
  <si>
    <t>SB left VM</t>
  </si>
  <si>
    <t>ML 2/14 confirmed</t>
  </si>
  <si>
    <t xml:space="preserve">MY 3/3: left vm and text. </t>
  </si>
  <si>
    <t>AW 3/8 left vm and text</t>
  </si>
  <si>
    <t>ER 3/23 left vm and text</t>
  </si>
  <si>
    <t>EK 3/30 phone went straight to VM; left VM and text</t>
  </si>
  <si>
    <t>&lt;- unassigned because has been trying to reach pt for a few month without success</t>
  </si>
  <si>
    <t>NZ 2/16 left text and vm</t>
  </si>
  <si>
    <t>EK 3/30 left VM and text</t>
  </si>
  <si>
    <t>ML 2/2 voicemail full, left text</t>
  </si>
  <si>
    <t>NZ 2/16 mailbox full, left text</t>
  </si>
  <si>
    <t xml:space="preserve">MY 3/3: left text. </t>
  </si>
  <si>
    <t>AW 3/8 vm full, left text</t>
  </si>
  <si>
    <t>EK 3/30 VM box full; left text</t>
  </si>
  <si>
    <t xml:space="preserve">MY 2/16: no phone number listed. </t>
  </si>
  <si>
    <t>ER 3/1: no phone number listed</t>
  </si>
  <si>
    <t>JS 3/8: no phone number listed</t>
  </si>
  <si>
    <t>JS 3/17: no phone number listed</t>
  </si>
  <si>
    <t>EK 3/30 left VM and text; name in VM box was not Ala Mohammed (may be wrong number)</t>
  </si>
  <si>
    <t>ML 2/2 call failure, left text</t>
  </si>
  <si>
    <t>Nina Zhang (update both 2/18 and 3/4 column)</t>
  </si>
  <si>
    <t>MY 3/3: unable to call/vm/text.</t>
  </si>
  <si>
    <t>VA: 2/3 call did not go through</t>
  </si>
  <si>
    <t>VA: 2/2 call did not go through</t>
  </si>
  <si>
    <t>ER confirmed delivery for 2/4, she would like door to be answered before food is dropped because of robbery problem</t>
  </si>
  <si>
    <t>Emily Robers</t>
  </si>
  <si>
    <t>NV 2/9 left VM and sent text</t>
  </si>
  <si>
    <t>AC 2/14, left VM and sent text</t>
  </si>
  <si>
    <t>OS 3/22: left voicemail + text</t>
  </si>
  <si>
    <t>VA: 4/13 call can't be completed</t>
  </si>
  <si>
    <t>VA: 2/3 VM full, sent text</t>
  </si>
  <si>
    <t xml:space="preserve">MY 2/16: could not call, left text. </t>
  </si>
  <si>
    <t>JS 3/8: VM full, left text</t>
  </si>
  <si>
    <t>JS 3/17: Left VM and sent text</t>
  </si>
  <si>
    <t>JS 3/25: could not leave VM, sent text</t>
  </si>
  <si>
    <t>KT 4/5: VM full, left text</t>
  </si>
  <si>
    <t>b2</t>
  </si>
  <si>
    <t>VA: 2/3 left VM and sent text</t>
  </si>
  <si>
    <t>MG: 3/9 Left VM and sent text</t>
  </si>
  <si>
    <t>JS 3/25: left VM and sent text</t>
  </si>
  <si>
    <t>KT 4/5: left VM and left text</t>
  </si>
  <si>
    <t>MG: 3/9 confirmed via call</t>
  </si>
  <si>
    <t>AW 3/29: stated this was wrong number (TS 3/31 checked that number we have on file is consistent with what's in EPIC)</t>
  </si>
  <si>
    <t>KT: left VM and text on alternate number</t>
  </si>
  <si>
    <t>AS 2/22 confirmed via text</t>
  </si>
  <si>
    <t>JS 4/8 does not want produce; moved</t>
  </si>
  <si>
    <t>VA: 2/23 could not reach</t>
  </si>
  <si>
    <t>SU: Called alternate number, was told they were not part of program and to stop calling</t>
  </si>
  <si>
    <t>NV 2/16 same note as above since number same</t>
  </si>
  <si>
    <t>VA: 2/3 spoke with brother; he is in jail right now</t>
  </si>
  <si>
    <t>NV 1/26 number no longer in service</t>
  </si>
  <si>
    <t>RS 2/09 number no longer in service</t>
  </si>
  <si>
    <t>AC 1/18 duplicate of person below, number doesnt work</t>
  </si>
  <si>
    <t>BL 1/31 duplicate of person below</t>
  </si>
  <si>
    <t>OS phone disconnected/not in service</t>
  </si>
  <si>
    <t>RS 2/3 number disconnected</t>
  </si>
  <si>
    <t>Rachel Solecki</t>
  </si>
  <si>
    <t>KD "Call couldn't be completed" - left message</t>
  </si>
  <si>
    <t xml:space="preserve">KG 2/3 left text, "Call couldn't be completed" </t>
  </si>
  <si>
    <t>F3860</t>
  </si>
  <si>
    <t>NV 2/23 left VM asking for deliveries on 2/25 and 3/11</t>
  </si>
  <si>
    <t xml:space="preserve">NV 3/23  would not like deliveries for now since had to move to a hotel, upon inquiry if the patient would like their address changed they denied, they will call back when they want to start up deliveries again. </t>
  </si>
  <si>
    <t>TW 2/15: patient phone has no VM box, sent text</t>
  </si>
  <si>
    <t>Matthew Yuan (please update for column 3/11 and 3/25)</t>
  </si>
  <si>
    <t>BL 3/15 voicemail not set up, sent text</t>
  </si>
  <si>
    <t>MG: Confirmed 3/23</t>
  </si>
  <si>
    <t>Unassigned bc location</t>
  </si>
  <si>
    <t>Satyam Patel</t>
  </si>
  <si>
    <t>NV 3/2 left VM and sent text</t>
  </si>
  <si>
    <t>Pt has moved</t>
  </si>
  <si>
    <t>KC: No delivery this week (only 3/4)</t>
  </si>
  <si>
    <t>Left a text and VM PR 3/17</t>
  </si>
  <si>
    <t>LT sent text</t>
  </si>
  <si>
    <t>AS 4/12 no longer wish to recieve deliveries</t>
  </si>
  <si>
    <t>CM sent a text message but have not head back</t>
  </si>
  <si>
    <t>KC: Sent text (no VM box)</t>
  </si>
  <si>
    <t>AS 3/1 number out of service or busy</t>
  </si>
  <si>
    <t>Could not be reached are there was no service PR 3/17</t>
  </si>
  <si>
    <t>AS 1/18 confirmed</t>
  </si>
  <si>
    <t>EG called and she said I had the wrong number</t>
  </si>
  <si>
    <t>AS 3/1 she said wrong number</t>
  </si>
  <si>
    <t>PR - I was saying I was calling from the Duke Outpaint Clinic and she cut the call. Left a text.</t>
  </si>
  <si>
    <t>AS 2/8 they moved out of the state</t>
  </si>
  <si>
    <t>VA: 2/9 wrong number</t>
  </si>
  <si>
    <t xml:space="preserve">BL 3/15 left voicemail </t>
  </si>
  <si>
    <t>AW 3/29: stated this was wrong number (TS 3/31 updated number using info in Epic)</t>
  </si>
  <si>
    <t xml:space="preserve">MY: text and vm. </t>
  </si>
  <si>
    <t>&lt;- unassigned because outside of service area</t>
  </si>
  <si>
    <t>Pineapple</t>
  </si>
  <si>
    <t>VA: 2/9 left VM, sent text</t>
  </si>
  <si>
    <t>AS 2/15 left text and VM</t>
  </si>
  <si>
    <t>BL 3/15 wrong number</t>
  </si>
  <si>
    <t>RG call didn't go through</t>
  </si>
  <si>
    <t>AC 2/14, wants to stop receiving texts</t>
  </si>
  <si>
    <t>NV 2/9 left VM and sent text; note: the VM was for someone named Jenny so not sure if this is the correct number</t>
  </si>
  <si>
    <t>AC 2/14, this is the wrong number</t>
  </si>
  <si>
    <t>KT Called 4/27- Patient would no longer like to recieve deliveries</t>
  </si>
  <si>
    <t>ER texted with her, is unsure if she wants deliveries and is going to reach back out if she does</t>
  </si>
  <si>
    <t xml:space="preserve">MY 2/16: delivery confirmed. </t>
  </si>
  <si>
    <t>MY 2/16: delivery confirmed.</t>
  </si>
  <si>
    <t>AS 2/15 confirmed via text</t>
  </si>
  <si>
    <t>Tianrui Wu (please update for column 2/25 &amp; 3/11)</t>
  </si>
  <si>
    <t>502 Hugo Street, Durham, 27704</t>
  </si>
  <si>
    <t>2220 Southgate Street, Durham, 27703</t>
  </si>
  <si>
    <t>Smith, Casey</t>
  </si>
  <si>
    <t>Garcia, Alicia</t>
  </si>
  <si>
    <t>Wilson, Sam</t>
  </si>
  <si>
    <t>Lee, Jamie</t>
  </si>
  <si>
    <t>Davis, Casey</t>
  </si>
  <si>
    <t>Martinez, Jose</t>
  </si>
  <si>
    <t>Brown, Drew</t>
  </si>
  <si>
    <t>Martinez, Taylor</t>
  </si>
  <si>
    <t>Davis, Jamie</t>
  </si>
  <si>
    <t>Smith, Jordan</t>
  </si>
  <si>
    <t>Davis, Alex</t>
  </si>
  <si>
    <t>Garcia, Taylor</t>
  </si>
  <si>
    <t>Smith, Jose</t>
  </si>
  <si>
    <t>Anderson, Jose</t>
  </si>
  <si>
    <t>Lee, Robin</t>
  </si>
  <si>
    <t>Wilson, Maria</t>
  </si>
  <si>
    <t>Martinez, Fatima</t>
  </si>
  <si>
    <t>Wilson, Avery</t>
  </si>
  <si>
    <t>Martinez, Riley</t>
  </si>
  <si>
    <t>Lopez, Sam</t>
  </si>
  <si>
    <t>Johnson, Maria</t>
  </si>
  <si>
    <t>Johnson, Jamie</t>
  </si>
  <si>
    <t>Johnson, Riley</t>
  </si>
  <si>
    <t>Smith, Morgan</t>
  </si>
  <si>
    <t>Martinez, Casey</t>
  </si>
  <si>
    <t>Brown, Sam</t>
  </si>
  <si>
    <t>Smith, Sam</t>
  </si>
  <si>
    <t>Brown, Alex</t>
  </si>
  <si>
    <t>Wilson, Taylor</t>
  </si>
  <si>
    <t>Wilson, Jose</t>
  </si>
  <si>
    <t>Lee, Alex</t>
  </si>
  <si>
    <t>Anderson, Taylor</t>
  </si>
  <si>
    <t>Anderson, Avery</t>
  </si>
  <si>
    <t>Smith, Alex</t>
  </si>
  <si>
    <t>Davis, Sam</t>
  </si>
  <si>
    <t>Brown, Avery</t>
  </si>
  <si>
    <t>Martinez, Jamie</t>
  </si>
  <si>
    <t>Brown, Jordan</t>
  </si>
  <si>
    <t>Anderson, Robin</t>
  </si>
  <si>
    <t>Garcia, Jose</t>
  </si>
  <si>
    <t>Brown, Alicia</t>
  </si>
  <si>
    <t>Johnson, Drew</t>
  </si>
  <si>
    <t>Brown, Jose</t>
  </si>
  <si>
    <t>Brown, Jamie</t>
  </si>
  <si>
    <t>Garcia, Jamie</t>
  </si>
  <si>
    <t>Johnson, Alicia</t>
  </si>
  <si>
    <t>Davis, Morgan</t>
  </si>
  <si>
    <t>Anderson, Fatima</t>
  </si>
  <si>
    <t>Brown, Robin</t>
  </si>
  <si>
    <t>Davis, Robin</t>
  </si>
  <si>
    <t>Johnson, Robin</t>
  </si>
  <si>
    <t>Johnson, Morgan</t>
  </si>
  <si>
    <t>Lopez, Taylor</t>
  </si>
  <si>
    <t>Brown, Maria</t>
  </si>
  <si>
    <t>Wilson, Robin</t>
  </si>
  <si>
    <t>Anderson, Morgan</t>
  </si>
  <si>
    <t>Smith, Robin</t>
  </si>
  <si>
    <t>Martinez, Drew</t>
  </si>
  <si>
    <t>Davis, Alicia</t>
  </si>
  <si>
    <t>Wilson, Alicia</t>
  </si>
  <si>
    <t>Lopez, Avery</t>
  </si>
  <si>
    <t>Lopez, Jose</t>
  </si>
  <si>
    <t>Smith, Drew</t>
  </si>
  <si>
    <t>Lopez, Casey</t>
  </si>
  <si>
    <t>Smith, Taylor</t>
  </si>
  <si>
    <t>Davis, Riley</t>
  </si>
  <si>
    <t>Smith, Jamie</t>
  </si>
  <si>
    <t>Brown, Fatima</t>
  </si>
  <si>
    <t>Anderson, Maria</t>
  </si>
  <si>
    <t>Brown, Riley</t>
  </si>
  <si>
    <t>Martinez, Alicia</t>
  </si>
  <si>
    <t>Garcia, Maria</t>
  </si>
  <si>
    <t>Lee, Taylor</t>
  </si>
  <si>
    <t>Anderson, Riley</t>
  </si>
  <si>
    <t>919-555-1000</t>
  </si>
  <si>
    <t>919-555-1001</t>
  </si>
  <si>
    <t>919-555-1002</t>
  </si>
  <si>
    <t>919-555-1003</t>
  </si>
  <si>
    <t>919-555-1004</t>
  </si>
  <si>
    <t>919-555-1005</t>
  </si>
  <si>
    <t>919-555-1006</t>
  </si>
  <si>
    <t>919-555-1007</t>
  </si>
  <si>
    <t>919-555-1008</t>
  </si>
  <si>
    <t>919-555-1009</t>
  </si>
  <si>
    <t>919-555-1010</t>
  </si>
  <si>
    <t>919-555-1011</t>
  </si>
  <si>
    <t>919-555-1012</t>
  </si>
  <si>
    <t>919-555-1013</t>
  </si>
  <si>
    <t>919-555-1014</t>
  </si>
  <si>
    <t>919-555-1015</t>
  </si>
  <si>
    <t>919-555-1016</t>
  </si>
  <si>
    <t>919-555-1017</t>
  </si>
  <si>
    <t>919-555-1018</t>
  </si>
  <si>
    <t>919-555-1019</t>
  </si>
  <si>
    <t>919-555-1020</t>
  </si>
  <si>
    <t>919-555-1021</t>
  </si>
  <si>
    <t>919-555-1022</t>
  </si>
  <si>
    <t>919-555-1023</t>
  </si>
  <si>
    <t>919-555-1024</t>
  </si>
  <si>
    <t>919-555-1025</t>
  </si>
  <si>
    <t>919-555-1026</t>
  </si>
  <si>
    <t>919-555-1027</t>
  </si>
  <si>
    <t>919-555-1028</t>
  </si>
  <si>
    <t>919-555-1029</t>
  </si>
  <si>
    <t>919-555-1030</t>
  </si>
  <si>
    <t>919-555-1031</t>
  </si>
  <si>
    <t>919-555-1032</t>
  </si>
  <si>
    <t>919-555-1033</t>
  </si>
  <si>
    <t>919-555-1034</t>
  </si>
  <si>
    <t>919-555-1035</t>
  </si>
  <si>
    <t>919-555-1036</t>
  </si>
  <si>
    <t>919-555-1037</t>
  </si>
  <si>
    <t>919-555-1038</t>
  </si>
  <si>
    <t>919-555-1039</t>
  </si>
  <si>
    <t>919-555-1040</t>
  </si>
  <si>
    <t>919-555-1041</t>
  </si>
  <si>
    <t>919-555-1042</t>
  </si>
  <si>
    <t>919-555-1043</t>
  </si>
  <si>
    <t>919-555-1044</t>
  </si>
  <si>
    <t>919-555-1045</t>
  </si>
  <si>
    <t>919-555-1046</t>
  </si>
  <si>
    <t>919-555-1047</t>
  </si>
  <si>
    <t>919-555-1048</t>
  </si>
  <si>
    <t>919-555-1049</t>
  </si>
  <si>
    <t>919-555-1050</t>
  </si>
  <si>
    <t>919-555-1051</t>
  </si>
  <si>
    <t>919-555-1052</t>
  </si>
  <si>
    <t>919-555-1053</t>
  </si>
  <si>
    <t>919-555-1054</t>
  </si>
  <si>
    <t>919-555-1055</t>
  </si>
  <si>
    <t>919-555-1056</t>
  </si>
  <si>
    <t>919-555-1057</t>
  </si>
  <si>
    <t>919-555-1058</t>
  </si>
  <si>
    <t>919-555-1059</t>
  </si>
  <si>
    <t>919-555-1060</t>
  </si>
  <si>
    <t>919-555-1061</t>
  </si>
  <si>
    <t>919-555-1062</t>
  </si>
  <si>
    <t>919-555-1063</t>
  </si>
  <si>
    <t>919-555-1064</t>
  </si>
  <si>
    <t>919-555-1065</t>
  </si>
  <si>
    <t>919-555-1066</t>
  </si>
  <si>
    <t>919-555-1067</t>
  </si>
  <si>
    <t>919-555-1068</t>
  </si>
  <si>
    <t>919-555-1069</t>
  </si>
  <si>
    <t>919-555-1070</t>
  </si>
  <si>
    <t>919-555-1071</t>
  </si>
  <si>
    <t>919-555-1072</t>
  </si>
  <si>
    <t>919-555-1073</t>
  </si>
  <si>
    <t>919-555-1074</t>
  </si>
  <si>
    <t>919-555-1075</t>
  </si>
  <si>
    <t>919-555-1076</t>
  </si>
  <si>
    <t>919-555-1077</t>
  </si>
  <si>
    <t>919-555-1078</t>
  </si>
  <si>
    <t>919-555-1079</t>
  </si>
  <si>
    <t>919-555-1080</t>
  </si>
  <si>
    <t>919-555-1081</t>
  </si>
  <si>
    <t>919-555-1082</t>
  </si>
  <si>
    <t>919-555-1083</t>
  </si>
  <si>
    <t>919-555-1084</t>
  </si>
  <si>
    <t>919-555-1085</t>
  </si>
  <si>
    <t>919-555-1086</t>
  </si>
  <si>
    <t>919-555-1087</t>
  </si>
  <si>
    <t>919-555-1088</t>
  </si>
  <si>
    <t>919-555-1089</t>
  </si>
  <si>
    <t>919-555-1090</t>
  </si>
  <si>
    <t>919-555-1091</t>
  </si>
  <si>
    <t>919-555-1092</t>
  </si>
  <si>
    <t>919-555-1093</t>
  </si>
  <si>
    <t>919-555-1094</t>
  </si>
  <si>
    <t>919-555-1095</t>
  </si>
  <si>
    <t>919-555-1096</t>
  </si>
  <si>
    <t>919-555-1097</t>
  </si>
  <si>
    <t>919-555-1098</t>
  </si>
  <si>
    <t>919-555-1099</t>
  </si>
  <si>
    <t>-78.736872, 35.962570</t>
  </si>
  <si>
    <t>-78.874719, 36.082974</t>
  </si>
  <si>
    <t>-78.787900, 36.047058</t>
  </si>
  <si>
    <t>-78.848108, 36.098552</t>
  </si>
  <si>
    <t>-78.888927, 36.076711</t>
  </si>
  <si>
    <t>-78.777896, 35.995831</t>
  </si>
  <si>
    <t>-78.796682, 35.932528</t>
  </si>
  <si>
    <t>-78.740617, 35.988886</t>
  </si>
  <si>
    <t>-78.821942, 36.068486</t>
  </si>
  <si>
    <t>-78.739174, 36.068295</t>
  </si>
  <si>
    <t>-78.733890, 35.913707</t>
  </si>
  <si>
    <t>-78.869730, 35.986039</t>
  </si>
  <si>
    <t>-78.762810, 36.030420</t>
  </si>
  <si>
    <t>-78.706030, 36.002532</t>
  </si>
  <si>
    <t>-78.928541, 35.916994</t>
  </si>
  <si>
    <t>-78.712408, 36.027984</t>
  </si>
  <si>
    <t>-78.947467, 36.064977</t>
  </si>
  <si>
    <t>-78.768547, 35.941061</t>
  </si>
  <si>
    <t>-78.822367, 36.087589</t>
  </si>
  <si>
    <t>-78.861284, 36.015891</t>
  </si>
  <si>
    <t>-78.874661, 35.955806</t>
  </si>
  <si>
    <t>-78.865680, 36.000239</t>
  </si>
  <si>
    <t>-78.795363, 36.012991</t>
  </si>
  <si>
    <t>-78.917153, 36.022458</t>
  </si>
  <si>
    <t>-78.750246, 35.970625</t>
  </si>
  <si>
    <t>-78.708247, 35.991301</t>
  </si>
  <si>
    <t>-78.755949, 35.971533</t>
  </si>
  <si>
    <t>-78.728446, 35.986519</t>
  </si>
  <si>
    <t>-78.711324, 36.032145</t>
  </si>
  <si>
    <t>-78.917463, 35.956440</t>
  </si>
  <si>
    <t>-78.722206, 36.074121</t>
  </si>
  <si>
    <t>-78.860512, 35.943479</t>
  </si>
  <si>
    <t>-78.865993, 36.005296</t>
  </si>
  <si>
    <t>-78.715983, 36.091182</t>
  </si>
  <si>
    <t>-78.822572, 36.050553</t>
  </si>
  <si>
    <t>-78.907584, 35.994399</t>
  </si>
  <si>
    <t>-78.818849, 35.975041</t>
  </si>
  <si>
    <t>-78.822238, 35.926332</t>
  </si>
  <si>
    <t>-78.830402, 36.029761</t>
  </si>
  <si>
    <t>-78.834587, 35.902834</t>
  </si>
  <si>
    <t>-78.893610, 36.002613</t>
  </si>
  <si>
    <t>-78.844299, 35.933464</t>
  </si>
  <si>
    <t>-78.871464, 36.017811</t>
  </si>
  <si>
    <t>-78.846837, 36.022698</t>
  </si>
  <si>
    <t>-78.785102, 35.997532</t>
  </si>
  <si>
    <t>-78.741746, 35.957394</t>
  </si>
  <si>
    <t>-78.949764, 35.921349</t>
  </si>
  <si>
    <t>-78.898826, 35.988903</t>
  </si>
  <si>
    <t>-78.861861, 36.010757</t>
  </si>
  <si>
    <t>-78.700553, 35.920468</t>
  </si>
  <si>
    <t>-78.872989, 36.081830</t>
  </si>
  <si>
    <t>-78.895544, 36.021305</t>
  </si>
  <si>
    <t>-78.706865, 36.095017</t>
  </si>
  <si>
    <t>-78.814139, 35.910135</t>
  </si>
  <si>
    <t>-78.844083, 36.043308</t>
  </si>
  <si>
    <t>-78.735895, 36.022880</t>
  </si>
  <si>
    <t>-78.771579, 35.968187</t>
  </si>
  <si>
    <t>-78.796085, 35.944854</t>
  </si>
  <si>
    <t>-78.715040, 36.001381</t>
  </si>
  <si>
    <t>-78.941890, 36.079520</t>
  </si>
  <si>
    <t>-78.905568, 36.044313</t>
  </si>
  <si>
    <t>-78.712880, 36.007921</t>
  </si>
  <si>
    <t>-78.748173, 35.970136</t>
  </si>
  <si>
    <t>-78.750939, 36.088921</t>
  </si>
  <si>
    <t>-78.704864, 36.014818</t>
  </si>
  <si>
    <t>-78.750922, 35.902611</t>
  </si>
  <si>
    <t>-78.743911, 35.937472</t>
  </si>
  <si>
    <t>-78.740468, 35.958883</t>
  </si>
  <si>
    <t>-78.818241, 36.094352</t>
  </si>
  <si>
    <t>-78.803965, 36.074137</t>
  </si>
  <si>
    <t>-78.846991, 35.917827</t>
  </si>
  <si>
    <t>-78.864631, 36.041091</t>
  </si>
  <si>
    <t>-78.860867, 36.056493</t>
  </si>
  <si>
    <t>-78.870808, 35.952343</t>
  </si>
  <si>
    <t>-78.706500, 36.028422</t>
  </si>
  <si>
    <t>-78.896069, 35.980888</t>
  </si>
  <si>
    <t>-78.769391, 35.992101</t>
  </si>
  <si>
    <t>-78.946835, 35.954542</t>
  </si>
  <si>
    <t>-78.931691, 35.967480</t>
  </si>
  <si>
    <t>-78.746509, 35.962136</t>
  </si>
  <si>
    <t>-78.809971, 35.903652</t>
  </si>
  <si>
    <t>-78.874639, 36.013547</t>
  </si>
  <si>
    <t>-78.784935, 36.029211</t>
  </si>
  <si>
    <t>-78.870115, 36.009950</t>
  </si>
  <si>
    <t>-78.765698, 35.937650</t>
  </si>
  <si>
    <t>-78.924259, 35.977935</t>
  </si>
  <si>
    <t>-78.888751, 36.009485</t>
  </si>
  <si>
    <t>-78.864372, 35.922126</t>
  </si>
  <si>
    <t>-78.908184, 35.914276</t>
  </si>
  <si>
    <t>-78.863345, 36.077737</t>
  </si>
  <si>
    <t>-78.878619, 35.924924</t>
  </si>
  <si>
    <t>-78.721823, 36.072854</t>
  </si>
  <si>
    <t>-78.721804, 36.027511</t>
  </si>
  <si>
    <t>-78.927207, 36.047286</t>
  </si>
  <si>
    <t>-78.803261, 36.067558</t>
  </si>
  <si>
    <t>-78.785180, 35.915942</t>
  </si>
  <si>
    <t>-78.721148, 36.044667</t>
  </si>
  <si>
    <t>-78.769929, 35.904073</t>
  </si>
  <si>
    <t>-78.876249, 35.918263</t>
  </si>
  <si>
    <t>-78.836019, 36.024248</t>
  </si>
  <si>
    <t>6.4 mi</t>
  </si>
  <si>
    <t>10.4 mi</t>
  </si>
  <si>
    <t>1.1 mi</t>
  </si>
  <si>
    <t>5.4 mi</t>
  </si>
  <si>
    <t>9.1 mi</t>
  </si>
  <si>
    <t>5.2 mi</t>
  </si>
  <si>
    <t>7.5 mi</t>
  </si>
  <si>
    <t>1.2 mi</t>
  </si>
  <si>
    <t>1.0 mi</t>
  </si>
  <si>
    <t>7.9 mi</t>
  </si>
  <si>
    <t>4.8 mi</t>
  </si>
  <si>
    <t>7.4 mi</t>
  </si>
  <si>
    <t>5.1 mi</t>
  </si>
  <si>
    <t>8.8 mi</t>
  </si>
  <si>
    <t>7.6 mi</t>
  </si>
  <si>
    <t>3.0 mi</t>
  </si>
  <si>
    <t>5.5 mi</t>
  </si>
  <si>
    <t>1.9 mi</t>
  </si>
  <si>
    <t>6.6 mi</t>
  </si>
  <si>
    <t>6.3 mi</t>
  </si>
  <si>
    <t>9.2 mi</t>
  </si>
  <si>
    <t>9.6 mi</t>
  </si>
  <si>
    <t>2.9 mi</t>
  </si>
  <si>
    <t>2.3 mi</t>
  </si>
  <si>
    <t>5.0 mi</t>
  </si>
  <si>
    <t>0.8 mi</t>
  </si>
  <si>
    <t>8.7 mi</t>
  </si>
  <si>
    <t>1.5 mi</t>
  </si>
  <si>
    <t>4.9 mi</t>
  </si>
  <si>
    <t>2.0 mi</t>
  </si>
  <si>
    <t>6.9 mi</t>
  </si>
  <si>
    <t>2.2 mi</t>
  </si>
  <si>
    <t>4.7 mi</t>
  </si>
  <si>
    <t>10.1 mi</t>
  </si>
  <si>
    <t>4.2 mi</t>
  </si>
  <si>
    <t>7.3 mi</t>
  </si>
  <si>
    <t>9.3 mi</t>
  </si>
  <si>
    <t>4.0 mi</t>
  </si>
  <si>
    <t>2.8 mi</t>
  </si>
  <si>
    <t>8.6 mi</t>
  </si>
  <si>
    <t>3.1 mi</t>
  </si>
  <si>
    <t>8.3 mi</t>
  </si>
  <si>
    <t>0.6 mi</t>
  </si>
  <si>
    <t>0.9 mi</t>
  </si>
  <si>
    <t>1.6 mi</t>
  </si>
  <si>
    <t>2.6 mi</t>
  </si>
  <si>
    <t>3.8 mi</t>
  </si>
  <si>
    <t>4.3 mi</t>
  </si>
  <si>
    <t>7.0 mi</t>
  </si>
  <si>
    <t>9.8 mi</t>
  </si>
  <si>
    <t>7.7 mi</t>
  </si>
  <si>
    <t>9.0 mi</t>
  </si>
  <si>
    <t>Spanish</t>
  </si>
  <si>
    <t>they/them</t>
  </si>
  <si>
    <t>he/him</t>
  </si>
  <si>
    <t>Asian</t>
  </si>
  <si>
    <t>Unknown</t>
  </si>
  <si>
    <t>Mixed</t>
  </si>
  <si>
    <t>Voicemail not set up</t>
  </si>
  <si>
    <t>Alt: (919) 555-0182 – husband John</t>
  </si>
  <si>
    <t>Mother: Carla Rivera</t>
  </si>
  <si>
    <t>Call sister if no answer: 919-555-0199</t>
  </si>
  <si>
    <t>Voicemail full, try alternate number</t>
  </si>
  <si>
    <t>Emergency contact: aunt Maria Lopez</t>
  </si>
  <si>
    <t>Dad: Robert (preferred contact)</t>
  </si>
  <si>
    <t>Alt phone: 919-555-0111 (work line)</t>
  </si>
  <si>
    <t>Call mom Teresa if unreachable</t>
  </si>
  <si>
    <t>Voicemail not active, retry later</t>
  </si>
  <si>
    <t>Sister Ana – primary backup contact</t>
  </si>
  <si>
    <t>Husband: Miguel (919-555-0133)</t>
  </si>
  <si>
    <t>Alt: call daughter Sofia 919-555-0144</t>
  </si>
  <si>
    <t>No voicemail, text preferred</t>
  </si>
  <si>
    <t>Father Jorge – speaks for participant</t>
  </si>
  <si>
    <t>Call caregiver: Linda (home aide)</t>
  </si>
  <si>
    <t>Alt number listed under spouse</t>
  </si>
  <si>
    <t>Voicemail greeting in Spanish</t>
  </si>
  <si>
    <t>Mom: Rosa Martinez (best contact)</t>
  </si>
  <si>
    <t>Try second number if no answer: 919-555-0166</t>
  </si>
  <si>
    <t>Brother Carlos handles calls</t>
  </si>
  <si>
    <t>Voicemail not set up, no message option</t>
  </si>
  <si>
    <t>Emergency contact: grandmother Elena</t>
  </si>
  <si>
    <t>Alt: (919) 555-0177 – work cell</t>
  </si>
  <si>
    <t>Call fiancé if unreachable</t>
  </si>
  <si>
    <t>Mother handles all scheduling</t>
  </si>
  <si>
    <t>Dad: William (919-555-0188)</t>
  </si>
  <si>
    <t>Alt contact: neighbor Mrs. Hill</t>
  </si>
  <si>
    <t>Voicemail full as of last attempt</t>
  </si>
  <si>
    <t>Call sister Lucia first</t>
  </si>
  <si>
    <t>Backup: aunt Patricia (919-555-0190)</t>
  </si>
  <si>
    <t>Husband prefers text only</t>
  </si>
  <si>
    <t>No alternate phone available</t>
  </si>
  <si>
    <t>Mom: Jennifer (primary contact)</t>
  </si>
  <si>
    <t>Call daughter if participant unreachable</t>
  </si>
  <si>
    <t>Voicemail not active, retry next day</t>
  </si>
  <si>
    <t>Father handles all communication</t>
  </si>
  <si>
    <t>Alt: 919-555-0201 (mobile)</t>
  </si>
  <si>
    <t>Sister Maria listed as emergency contact</t>
  </si>
  <si>
    <t>Call spouse Luis if no answer</t>
  </si>
  <si>
    <t>Mother: Angela (best contact person)</t>
  </si>
  <si>
    <t>Voicemail not set up yet</t>
  </si>
  <si>
    <t>Alt: caregiver assigned by family</t>
  </si>
  <si>
    <t>Brother Jose – emergency backup</t>
  </si>
  <si>
    <t>Call mom if phone goes unanswered</t>
  </si>
  <si>
    <t>Secondary number: 919-555-0212</t>
  </si>
  <si>
    <t>Voicemail greeting unclear</t>
  </si>
  <si>
    <t>Father: Hector (primary contact)</t>
  </si>
  <si>
    <t>Call aunt Rosa for updates</t>
  </si>
  <si>
    <t>Alt number on file: 919-555-0223</t>
  </si>
  <si>
    <t>Husband Daniel – prefers calls after 5pm</t>
  </si>
  <si>
    <t>Mother listed as main contact</t>
  </si>
  <si>
    <t>No voicemail, phone rings only</t>
  </si>
  <si>
    <t>Call sister if urgent</t>
  </si>
  <si>
    <t>Emergency contact: uncle Frank</t>
  </si>
  <si>
    <t>Alt: work number 919-555-0234</t>
  </si>
  <si>
    <t>Mom Maria handles communication</t>
  </si>
  <si>
    <t>Call daughter Sofia first</t>
  </si>
  <si>
    <t>Backup contact: neighbor John</t>
  </si>
  <si>
    <t>Father listed as interpreter</t>
  </si>
  <si>
    <t>Alt phone: (919) 555-0245</t>
  </si>
  <si>
    <t>Sister Elena – primary contact</t>
  </si>
  <si>
    <t>Voicemail full, unable to leave message</t>
  </si>
  <si>
    <t>Call spouse if participant unreachable</t>
  </si>
  <si>
    <t>Mother: Patricia (919-555-0256)</t>
  </si>
  <si>
    <t>No alternate contact provided</t>
  </si>
  <si>
    <t>Call caregiver assigned by clinic</t>
  </si>
  <si>
    <t>Brother Miguel listed as backup</t>
  </si>
  <si>
    <t>Alt: 919-555-0267 – mobile</t>
  </si>
  <si>
    <t>Mom handles all health appointments</t>
  </si>
  <si>
    <t>Voicemail not active</t>
  </si>
  <si>
    <t>Call aunt if no response</t>
  </si>
  <si>
    <t>Husband: Carlos (preferred contact)</t>
  </si>
  <si>
    <t>Secondary number listed in chart</t>
  </si>
  <si>
    <t>Father: Roberto</t>
  </si>
  <si>
    <t>Call sister Ana if unreachable</t>
  </si>
  <si>
    <t>Alt: 919-555-0278 (work phone)</t>
  </si>
  <si>
    <t>Mother is primary caregiver</t>
  </si>
  <si>
    <t>Voicemail greeting not recorded</t>
  </si>
  <si>
    <t>Emergency contact: cousin Daniela</t>
  </si>
  <si>
    <t>Call daughter if no answer</t>
  </si>
  <si>
    <t>Alt phone: 919-555-0289</t>
  </si>
  <si>
    <t>Husband prefers Spanish only calls</t>
  </si>
  <si>
    <t>Mother: Luisa</t>
  </si>
  <si>
    <t>Call neighbor if urgent</t>
  </si>
  <si>
    <t>Father listed as contact person</t>
  </si>
  <si>
    <t>Alt: (919) 555-0290 – cell</t>
  </si>
  <si>
    <t>Sister Maria handles scheduling</t>
  </si>
  <si>
    <t>No voicemail available</t>
  </si>
  <si>
    <t>Emergency contact: aunt Beatriz</t>
  </si>
  <si>
    <t>Mother: Carmen (primary contact)</t>
  </si>
  <si>
    <t>Alt number on file</t>
  </si>
  <si>
    <t>Brother listed as backup contact</t>
  </si>
  <si>
    <t>Voicemail not set up, try again later</t>
  </si>
  <si>
    <t>Call daughter Sofia for updates</t>
  </si>
  <si>
    <t>Father: Antonio (919-555-0301)</t>
  </si>
  <si>
    <t>Secondary contact listed as caregiver: 919-911-9111</t>
  </si>
  <si>
    <t>As of 6/10, homeless</t>
  </si>
  <si>
    <t>Phone number not set up, voicemail unavailable</t>
  </si>
  <si>
    <t>Participant always requests delivery service</t>
  </si>
  <si>
    <t>Allergy to peanuts confirmed by caregiver report</t>
  </si>
  <si>
    <t>Requests vegetables, fruits, and eggs frequently</t>
  </si>
  <si>
    <t>Always call before attempting delivery</t>
  </si>
  <si>
    <t>Preference for potatoes, broccoli, leafy greens, white onions</t>
  </si>
  <si>
    <t>Participant currently living in shelter facility</t>
  </si>
  <si>
    <t>Interested in pick-up option instead of delivery</t>
  </si>
  <si>
    <t>Participant in process of moving, follow-up in 3 weeks</t>
  </si>
  <si>
    <t>Requests diapers if available, size 2 or 3</t>
  </si>
  <si>
    <t>Currently staying in Durham hotel temporarily</t>
  </si>
  <si>
    <t>Phone number disconnected as of last attempt</t>
  </si>
  <si>
    <t>No stable housing at this time</t>
  </si>
  <si>
    <t>Prefers text communication only</t>
  </si>
  <si>
    <t>Requests additional eggs and milk when available</t>
  </si>
  <si>
    <t>Caregiver confirms residence with aunt</t>
  </si>
  <si>
    <t>Multiple missed delivery attempts recorded</t>
  </si>
  <si>
    <t>Requests no phone calls, SMS only</t>
  </si>
  <si>
    <t>Allergy to shellfish reported by mother</t>
  </si>
  <si>
    <t>Preference for fresh fruit only, no canned food</t>
  </si>
  <si>
    <t>Delivery instructions: leave packages at front desk</t>
  </si>
  <si>
    <t>Housing insecurity, temporarily staying with friends</t>
  </si>
  <si>
    <t>Phone goes directly to voicemail, no message option</t>
  </si>
  <si>
    <t>Vegetarian food preference requested</t>
  </si>
  <si>
    <t>Early morning delivery window preferred</t>
  </si>
  <si>
    <t>As of 6/12, relocated to new shelter site</t>
  </si>
  <si>
    <t>Caregiver reports stable condition</t>
  </si>
  <si>
    <t>Requests hygiene supplies if available</t>
  </si>
  <si>
    <t>No response after three contact attempts</t>
  </si>
  <si>
    <t>Spanish-speaking contact preferred</t>
  </si>
  <si>
    <t>Address change pending confirmation</t>
  </si>
  <si>
    <t>Delivery refused at last attempt</t>
  </si>
  <si>
    <t>Requests rice, beans, vegetables in deliveries</t>
  </si>
  <si>
    <t>Phone number out of service</t>
  </si>
  <si>
    <t>Participant currently hospitalized, discharge date unknown</t>
  </si>
  <si>
    <t>Follow-up required after relocation</t>
  </si>
  <si>
    <t>Daughter listed as primary contact</t>
  </si>
  <si>
    <t>Dairy allergy reported</t>
  </si>
  <si>
    <t>Requests weekly delivery support if possible</t>
  </si>
  <si>
    <t>As of 6/13, homeless status confirmed</t>
  </si>
  <si>
    <t>Transitional housing program participation ongoing</t>
  </si>
  <si>
    <t>Requests diapers size 3 or 4</t>
  </si>
  <si>
    <t>Expressed gratitude for fruit deliveries</t>
  </si>
  <si>
    <t>Current address cannot accept deliveries</t>
  </si>
  <si>
    <t>Phone number not set up for voicemail</t>
  </si>
  <si>
    <t>Calls requested only after 5pm</t>
  </si>
  <si>
    <t>Frozen food preferred over fresh produce</t>
  </si>
  <si>
    <t>Currently residing in Durham shelter downtown</t>
  </si>
  <si>
    <t>No current access to phone service</t>
  </si>
  <si>
    <t>Eggs requested in every delivery</t>
  </si>
  <si>
    <t>Transportation barriers reported by caregiver</t>
  </si>
  <si>
    <t>Address change in progress, confirmation pending</t>
  </si>
  <si>
    <t>Delivery instructions unclear, verification needed</t>
  </si>
  <si>
    <t>Severe peanut allergy reported</t>
  </si>
  <si>
    <t>Email contact preferred when possible</t>
  </si>
  <si>
    <t>Interested in home delivery program enrollment</t>
  </si>
  <si>
    <t>Phone number inactive since last contact</t>
  </si>
  <si>
    <t>Requests increased vegetable supply, especially greens</t>
  </si>
  <si>
    <t>Currently couch surfing between residences</t>
  </si>
  <si>
    <t>Missed appointment, rescheduling required</t>
  </si>
  <si>
    <t>Early morning contact preferred by caregiver</t>
  </si>
  <si>
    <t>No stable address recorded</t>
  </si>
  <si>
    <t>Requests baby formula if available</t>
  </si>
  <si>
    <t>Housing application process in progress</t>
  </si>
  <si>
    <t>Delivery completed successfully on last attempt</t>
  </si>
  <si>
    <t>SMS communication only requested</t>
  </si>
  <si>
    <t>As of 6/14, temporary hotel residence</t>
  </si>
  <si>
    <t>Seafood allergy reported</t>
  </si>
  <si>
    <t>Preference for apples, bananas, oranges</t>
  </si>
  <si>
    <t>Difficulty reaching participant by phone</t>
  </si>
  <si>
    <t>Family member designated as primary contact</t>
  </si>
  <si>
    <t>Requests additional protein items</t>
  </si>
  <si>
    <t>Phone rings without answer</t>
  </si>
  <si>
    <t>Temporary relocation outside county</t>
  </si>
  <si>
    <t>Future delivery interest pending stable housing</t>
  </si>
  <si>
    <t>Dietary restrictions confirmed by caregiver</t>
  </si>
  <si>
    <t>No voicemail service available</t>
  </si>
  <si>
    <t>Diapers size 2 requested</t>
  </si>
  <si>
    <t>Contact preferred after 6pm</t>
  </si>
  <si>
    <t>Housing status remains uncertain</t>
  </si>
  <si>
    <t>Delivery left with front desk staff member</t>
  </si>
  <si>
    <t>Expressed appreciation for assistance</t>
  </si>
  <si>
    <t>Phone number inactive for over one month</t>
  </si>
  <si>
    <t>Cultural food preferences requested</t>
  </si>
  <si>
    <t>Currently staying with relatives in Durham</t>
  </si>
  <si>
    <t>Follow-up recommended in 2–3 weeks</t>
  </si>
  <si>
    <t>Multiple unanswered call attempts recorded</t>
  </si>
  <si>
    <t>Text message reminders preferred for deliveries</t>
  </si>
  <si>
    <t>Peanut and tree nut allergy reported</t>
  </si>
  <si>
    <t>Between housing situations at present time</t>
  </si>
  <si>
    <t>Requests increased eggs and fresh vegetables</t>
  </si>
  <si>
    <t>Delivery refused due to relocation status</t>
  </si>
  <si>
    <t>Phone number change pending update</t>
  </si>
  <si>
    <t>Request for consistent weekly support services</t>
  </si>
  <si>
    <t>As of 6/15, homeless status ongoing</t>
  </si>
  <si>
    <t>Caregiver unavailable during contact attempts</t>
  </si>
  <si>
    <t>Pickup location preference indicated</t>
  </si>
  <si>
    <t>Unable to reach participant via phone</t>
  </si>
  <si>
    <t>Follow-up recommended after address update</t>
  </si>
  <si>
    <t>APT M7, ok to leave outside if no answer at door</t>
  </si>
  <si>
    <t>Call before delivery for gate access instructions</t>
  </si>
  <si>
    <t>If no answer, leave bag on front porch step</t>
  </si>
  <si>
    <t>Do not leave unattended if weather conditions are poor</t>
  </si>
  <si>
    <t>Leave at front door, knock loudly if possible</t>
  </si>
  <si>
    <t>Entry code required for building access, call ahead</t>
  </si>
  <si>
    <t>Place bag inside screened porch if door is unlocked</t>
  </si>
  <si>
    <t>Leave delivery with front desk if resident unavailable</t>
  </si>
  <si>
    <t>Apartment located on second floor, no elevator access</t>
  </si>
  <si>
    <t>Call upon arrival for gate opening instructions</t>
  </si>
  <si>
    <t>If no response, leave hanging on door handle</t>
  </si>
  <si>
    <t>Delivery accepted only after 4pm weekdays</t>
  </si>
  <si>
    <t>Do not leave food exposed to animals</t>
  </si>
  <si>
    <t>Place bag behind column near front steps if unattended</t>
  </si>
  <si>
    <t>Building entry through rear door only</t>
  </si>
  <si>
    <t>Call emergency contact if no access to building</t>
  </si>
  <si>
    <t>Leave package in designated bin by stairwell</t>
  </si>
  <si>
    <t>Knock and wait 2–3 minutes before leaving</t>
  </si>
  <si>
    <t>If locked gate, call number listed for entry</t>
  </si>
  <si>
    <t>Delivery location is unit 3B, left hallway</t>
  </si>
  <si>
    <t>Leave at porch but ensure out of street view</t>
  </si>
  <si>
    <t>Participant requests call 10 minutes before arrival</t>
  </si>
  <si>
    <t>No porch access, leave at main office desk</t>
  </si>
  <si>
    <t>Apartment behind main building, follow side path</t>
  </si>
  <si>
    <t>If no answer, leave in insulated bag container</t>
  </si>
  <si>
    <t>Entry through blue gate, code required</t>
  </si>
  <si>
    <t>Place delivery in cooler box if available</t>
  </si>
  <si>
    <t>Leave at door unless signature required</t>
  </si>
  <si>
    <t>Call upon arrival for building entry instructions</t>
  </si>
  <si>
    <t>No safe drop location, must contact before leaving</t>
  </si>
  <si>
    <t>APT 2C, third building on left side of complex</t>
  </si>
  <si>
    <t>Leave on back porch near storage bins</t>
  </si>
  <si>
    <t>Do not leave in sun exposure area</t>
  </si>
  <si>
    <t>Call before delivery for access instructions</t>
  </si>
  <si>
    <t>Apartment located upstairs, right side unit</t>
  </si>
  <si>
    <t>Leave delivery with leasing office staff</t>
  </si>
  <si>
    <t>Gate code provided verbally upon call</t>
  </si>
  <si>
    <t>If no answer, leave behind planter box</t>
  </si>
  <si>
    <t>Delivery can be left outside door if secure</t>
  </si>
  <si>
    <t>Call before entering property driveway</t>
  </si>
  <si>
    <t>Unit located next to mailroom entrance</t>
  </si>
  <si>
    <t>Leave bag in covered porch area only</t>
  </si>
  <si>
    <t>Access through side gate only, often locked</t>
  </si>
  <si>
    <t>Knock and wait, participant may be slow to answer</t>
  </si>
  <si>
    <t>If unavailable, leave with neighbor if confirmed</t>
  </si>
  <si>
    <t>Place delivery in plastic bin by door</t>
  </si>
  <si>
    <t>Apartment located in rear building cluster</t>
  </si>
  <si>
    <t>Call upon arrival for security gate code</t>
  </si>
  <si>
    <t>Leave at door, no need to ring bell</t>
  </si>
  <si>
    <t>Do not leave delivery if animals present outside</t>
  </si>
  <si>
    <t>APT M7, leave outside if no answer</t>
  </si>
  <si>
    <t>Building 500, across from white compactor</t>
  </si>
  <si>
    <t>Shelf available by carport door for drop-off</t>
  </si>
  <si>
    <t>Call before delivery to confirm presence</t>
  </si>
  <si>
    <t>Leave inside screened porch if unlocked</t>
  </si>
  <si>
    <t>If locked gate, wait or call contact number</t>
  </si>
  <si>
    <t>Deliver to front desk concierge if available</t>
  </si>
  <si>
    <t>Leave behind flower pot if no contact made</t>
  </si>
  <si>
    <t>Apartment on second floor, stair access only</t>
  </si>
  <si>
    <t>Call upon arrival for entry instructions</t>
  </si>
  <si>
    <t>Leave in shaded area near front steps</t>
  </si>
  <si>
    <t>No safe drop point, must hand directly to resident</t>
  </si>
  <si>
    <t>Delivery accepted only between 9am–6pm</t>
  </si>
  <si>
    <t>Place bag inside cooler container if present</t>
  </si>
  <si>
    <t>Leave at side door near driveway</t>
  </si>
  <si>
    <t>Gate requires code, call prior to arrival</t>
  </si>
  <si>
    <t>Leave at porch railing if secure</t>
  </si>
  <si>
    <t>Apartment located in building behind parking lot</t>
  </si>
  <si>
    <t>Knock twice, wait before leaving</t>
  </si>
  <si>
    <t>If no answer, return later same day</t>
  </si>
  <si>
    <t>Leave delivery in labeled bin by entrance</t>
  </si>
  <si>
    <t>Call before arrival for instructions</t>
  </si>
  <si>
    <t>Leave at door unless otherwise instructed</t>
  </si>
  <si>
    <t>Entry through main lobby only</t>
  </si>
  <si>
    <t>Apartment 4A, third floor walk-up</t>
  </si>
  <si>
    <t>Leave on bench by front door</t>
  </si>
  <si>
    <t>Delivery must not be left visible from street</t>
  </si>
  <si>
    <t>Call upon arrival for gate access</t>
  </si>
  <si>
    <t>Leave inside porch storage box if open</t>
  </si>
  <si>
    <t>Building entry code required from resident</t>
  </si>
  <si>
    <t>Leave at rear door near garden area</t>
  </si>
  <si>
    <t>If no answer, leave with building manager</t>
  </si>
  <si>
    <t>Apartment located near laundry room entrance</t>
  </si>
  <si>
    <t>Call before delivery, no entry without permission</t>
  </si>
  <si>
    <t>Leave bag hanging on door handle if needed</t>
  </si>
  <si>
    <t>Shelf available under covered porch</t>
  </si>
  <si>
    <t>Do not leave food exposed to rain</t>
  </si>
  <si>
    <t>Call emergency contact if access denied</t>
  </si>
  <si>
    <t>Apartment located left side of duplex</t>
  </si>
  <si>
    <t>Leave at designated delivery shelf by carport</t>
  </si>
  <si>
    <t>Gate often locked, call for access instructions</t>
  </si>
  <si>
    <t>Leave at front door step if safe</t>
  </si>
  <si>
    <t>Knock and wait at least 3 minutes</t>
  </si>
  <si>
    <t>Deliver to unit marked “H” on door (navy blue label)</t>
  </si>
  <si>
    <t>Leave behind pillar near entrance walkway</t>
  </si>
  <si>
    <t>Apartment located in back corner unit</t>
  </si>
  <si>
    <t>Leave in cooler bag if provided at door</t>
  </si>
  <si>
    <t>If no contact, return delivery to office</t>
  </si>
  <si>
    <t>Delivery shelf located by carport door available for drop-off</t>
  </si>
  <si>
    <t>NO</t>
  </si>
  <si>
    <t>Teresa Rivera</t>
  </si>
  <si>
    <t>Sofia Ramirez</t>
  </si>
  <si>
    <t>David Tho</t>
  </si>
  <si>
    <t>Daniel Wilson</t>
  </si>
  <si>
    <t>Jorge Ramirez</t>
  </si>
  <si>
    <t>Laura Hernandez</t>
  </si>
  <si>
    <t>Linda Williams</t>
  </si>
  <si>
    <t>Susan Moore</t>
  </si>
  <si>
    <t>Ricardo Martinez</t>
  </si>
  <si>
    <t>Jennifer Lopez</t>
  </si>
  <si>
    <t>Daniel Brown</t>
  </si>
  <si>
    <t>12 Larkspire Hollow, Apt 2A, Durham, NC 27001</t>
  </si>
  <si>
    <t>480 Emberwatch Crescent, Unit 5B, Durham, NC 27002</t>
  </si>
  <si>
    <t>19 Willowmere Crossing, Durham, NC 27003</t>
  </si>
  <si>
    <t>233 Frostbloom Path, Apt 4C, Durham, NC 27004</t>
  </si>
  <si>
    <t>88 Thornwhistle Bend, Durham, NC 27005</t>
  </si>
  <si>
    <t>150 Sunveil Arbor, Unit 12, Durham, NC 27006</t>
  </si>
  <si>
    <t>67 Pineveil Hollow, Apt 1D, Durham, NC 27007</t>
  </si>
  <si>
    <t>905 Bramblelight Street, Durham, NC 27008</t>
  </si>
  <si>
    <t>41 Silverhollow Crest, Unit 3A, Durham, NC 27009</t>
  </si>
  <si>
    <t>302 Cloudfern Avenue, Apt 3B, Durham, NC 27010</t>
  </si>
  <si>
    <t>118 Hollowglen Reach, Unit 7A, Durham, NC 27011</t>
  </si>
  <si>
    <t>77 Moonridge Path, Apt 2C, Durham, NC 27012</t>
  </si>
  <si>
    <t>560 Emberdell Rise, Unit 6C, Durham, NC 27013</t>
  </si>
  <si>
    <t>14 Cedarwhisper Blvd, Durham, NC 27014</t>
  </si>
  <si>
    <t>999 Starbark Loop, Unit 9D, Durham, NC 27015</t>
  </si>
  <si>
    <t>210 Willowshade Crossing, Apt 2F, Durham, NC 27016</t>
  </si>
  <si>
    <t>33 Fernhollow Trace, Unit 1A, Durham, NC 27017</t>
  </si>
  <si>
    <t>480 Stoneveil Ridge, Durham, NC 27018</t>
  </si>
  <si>
    <t>120 Larkthorn Hollow, Apt 8A, Durham, NC 27019</t>
  </si>
  <si>
    <t>66 Brookshade Path, Unit 5C, Durham, NC 27020</t>
  </si>
  <si>
    <t>750 Pinehush Crescent, Apt 11B, Durham, NC 27021</t>
  </si>
  <si>
    <t>91 Driftveil Court, Durham, NC 27022</t>
  </si>
  <si>
    <t>300 Embergrove Way, Apt 5A, Durham, NC 27023</t>
  </si>
  <si>
    <t>17 Willowcrest Hollow, Durham, NC 27024</t>
  </si>
  <si>
    <t>845 Cedarfog Lane, Unit 4D, Durham, NC 27025</t>
  </si>
  <si>
    <t>56 Mossveil Path, Apt 1A, Durham, NC 27026</t>
  </si>
  <si>
    <t>102 Silverroot Crossing, Durham, NC 27027</t>
  </si>
  <si>
    <t>39 Hollowbrook Crest, Unit 3B, Durham, NC 27028</t>
  </si>
  <si>
    <t>600 Autumnshade Lane, Apt 7C, Durham, NC 27029</t>
  </si>
  <si>
    <t>88 Stonefern Loop, Durham, NC 27030</t>
  </si>
  <si>
    <t>140 Frosthollow Drive, Unit 3B, Durham, NC 27031</t>
  </si>
  <si>
    <t>22 Meadowveil Court, Apt 2C, Durham, NC 27032</t>
  </si>
  <si>
    <t>510 Willowmere Rise, Unit 9A, Durham, NC 27033</t>
  </si>
  <si>
    <t>77 Cedarfall Hollow, Durham, NC 27034</t>
  </si>
  <si>
    <t>230 Pinehollow Trace, Unit 6D, Durham, NC 27035</t>
  </si>
  <si>
    <t>15 Riverglass Court, Apt 2C, Durham, NC 27036</t>
  </si>
  <si>
    <t>420 Emberwood Hollow, Unit 4A, Durham, NC 27037</t>
  </si>
  <si>
    <t>990 Northwind Hollow, Durham, NC 27038</t>
  </si>
  <si>
    <t>305 Maplehollow Path, Apt 4A, Durham, NC 27039</t>
  </si>
  <si>
    <t>71 Brookfield Hollow, Unit 2B, Durham, NC 27040</t>
  </si>
  <si>
    <t>880 Stoneveil Court, Unit 10B, Durham, NC 27041</t>
  </si>
  <si>
    <t>19 Willowridge Hollow, Durham, NC 27042</t>
  </si>
  <si>
    <t>640 Cedarbrook Loop, Apt 3C, Durham, NC 27043</t>
  </si>
  <si>
    <t>11 Frostvale Path, Unit 1B, Durham, NC 27044</t>
  </si>
  <si>
    <t>270 Emberleaf Hollow, Unit 5A, Durham, NC 27045</t>
  </si>
  <si>
    <t>58 Pinewind Crest, Apt 1B, Durham, NC 27046</t>
  </si>
  <si>
    <t>103 Hollowbrook Lane, Durham, NC 27047</t>
  </si>
  <si>
    <t>44 Meadowridge Hollow, Unit 2A, Durham, NC 27048</t>
  </si>
  <si>
    <t>690 Cedarfog Court, Apt 7D, Durham, NC 27049</t>
  </si>
  <si>
    <t>120 Stonepine Hollow, Unit 4B, Durham, NC 27050</t>
  </si>
  <si>
    <t>300 Willowcrest Rise, Durham, NC 27051</t>
  </si>
  <si>
    <t>77 Riverstone Hollow, Apt 2A, Durham, NC 27052</t>
  </si>
  <si>
    <t>510 Frostwood Hollow, Unit 6B, Durham, NC 27053</t>
  </si>
  <si>
    <t>18 Maplewood Crest, Apt 3D, Durham, NC 27054</t>
  </si>
  <si>
    <t>840 Embercrest Lane, Unit 8A, Durham, NC 27055</t>
  </si>
  <si>
    <t>95 Pinevale Hollow, Apt 3D, Durham, NC 27056</t>
  </si>
  <si>
    <t>220 Cedarbrook Hollow, Durham, NC 27057</t>
  </si>
  <si>
    <t>33 Willowgate Path, Unit 5A, Durham, NC 27058</t>
  </si>
  <si>
    <t>670 Stonewood Hollow, Apt 5C, Durham, NC 27059</t>
  </si>
  <si>
    <t>14 Brookstone Crest, Durham, NC 27060</t>
  </si>
  <si>
    <t>980 Frostmere Hollow, Unit 1A, Durham, NC 27061</t>
  </si>
  <si>
    <t>61 Meadowbrook Path, Apt 7B, Durham, NC 27062</t>
  </si>
  <si>
    <t>410 Pinehollow Crest, Durham, NC 27063</t>
  </si>
  <si>
    <t>29 Cedarwind Hollow, Unit 3A, Durham, NC 27064</t>
  </si>
  <si>
    <t>750 Emberstone Path, Apt 9C, Durham, NC 27065</t>
  </si>
  <si>
    <t>88 Willowfield Hollow, Unit 2B, Durham, NC 27066</t>
  </si>
  <si>
    <t>140 Stonecrest Hollow, Apt 4A, Durham, NC 27067</t>
  </si>
  <si>
    <t>55 Riverpine Path, Durham, NC 27068</t>
  </si>
  <si>
    <t>610 Maplewind Hollow, Unit 4D, Durham, NC 27069</t>
  </si>
  <si>
    <t>21 Frostpine Crest, Durham, NC 27070</t>
  </si>
  <si>
    <t>880 Cedarvale Hollow, Unit 6A, Durham, NC 27071</t>
  </si>
  <si>
    <t>17 Meadowpine Path, Apt 3B, Durham, NC 27072</t>
  </si>
  <si>
    <t>530 Willowstone Hollow, Durham, NC 27073</t>
  </si>
  <si>
    <t>66 Embervale Crest, Unit 2C, Durham, NC 27074</t>
  </si>
  <si>
    <t>910 Pinebrook Hollow, Apt 8C, Durham, NC 27075</t>
  </si>
  <si>
    <t>40 Stoneleaf Path, Unit 1D, Durham, NC 27076</t>
  </si>
  <si>
    <t>120 Cedarcrest Hollow, Durham, NC 27077</t>
  </si>
  <si>
    <t>77 Hollowpine Crest, Apt 5A, Durham, NC 27078</t>
  </si>
  <si>
    <t>690 Frostleaf Hollow, Unit 3A, Durham, NC 27079</t>
  </si>
  <si>
    <t>15 Riverpine Crest, Durham, NC 27080</t>
  </si>
  <si>
    <t>840 Maplecrest Hollow, Unit 7B, Durham, NC 27081</t>
  </si>
  <si>
    <t>28 Willowbrook Crest, Apt 2C, Durham, NC 27082</t>
  </si>
  <si>
    <t>500 Cedarstone Hollow, Durham, NC 27083</t>
  </si>
  <si>
    <t>93 Emberwood Crest, Unit 4A, Durham, NC 27084</t>
  </si>
  <si>
    <t>230 Frostvale Hollow, Apt 6D, Durham, NC 27085</t>
  </si>
  <si>
    <t>11 Pinecrest Path, Durham, NC 27086</t>
  </si>
  <si>
    <t>760 Meadowstone Hollow, Unit 8B, Durham, NC 27087</t>
  </si>
  <si>
    <t>39 Stonebrook Crest, Durham, NC 27088</t>
  </si>
  <si>
    <t>610 Willowpine Hollow, Unit 3A, Durham, NC 27089</t>
  </si>
  <si>
    <t>88 Cedarwind Crest, Apt 1C, Durham, NC 27090</t>
  </si>
  <si>
    <t>140 Emberpine Hollow, Unit 9A, Durham, NC 27091</t>
  </si>
  <si>
    <t>22 Frostbrook Crest, Durham, NC 27092</t>
  </si>
  <si>
    <t>530 Maplevale Hollow, Apt 2B, Durham, NC 27093</t>
  </si>
  <si>
    <t>67 Riverstone Hollow, Unit 5D, Durham, NC 27094</t>
  </si>
  <si>
    <t>900 Pinewind Crest, Durham, NC 27095</t>
  </si>
  <si>
    <t>18 Meadowleaf Hollow, Unit 2A, Durham, NC 27096</t>
  </si>
  <si>
    <t>440 Cedarpine Crest, Apt 6B, Durham, NC 27097</t>
  </si>
  <si>
    <t>55 Willowvale Hollow, Durham, NC 27098</t>
  </si>
  <si>
    <t>710 Embercrest Hollow, Unit 7C, Durham, NC 27099</t>
  </si>
  <si>
    <t>12 Stonewind Crest, Apt 3A, Durham, NC 27100</t>
  </si>
  <si>
    <t>Larkspire Hollow</t>
  </si>
  <si>
    <t>Emberwatch Crescent</t>
  </si>
  <si>
    <t>Willowmere Crossing</t>
  </si>
  <si>
    <t>Frostbloom Path</t>
  </si>
  <si>
    <t>Thornwhistle Bend</t>
  </si>
  <si>
    <t>Sunveil Arbor</t>
  </si>
  <si>
    <t>Pineveil Hollow</t>
  </si>
  <si>
    <t>Bramblelight Street</t>
  </si>
  <si>
    <t>Silverhollow Crest</t>
  </si>
  <si>
    <t>Cloudfern Avenue</t>
  </si>
  <si>
    <t>Hollowglen Reach</t>
  </si>
  <si>
    <t>Moonridge Path</t>
  </si>
  <si>
    <t>Emberdell Rise</t>
  </si>
  <si>
    <t>Cedarwhisper Blvd</t>
  </si>
  <si>
    <t>Starbark Loop</t>
  </si>
  <si>
    <t>Willowshade Crossing</t>
  </si>
  <si>
    <t>Fernhollow Trace</t>
  </si>
  <si>
    <t>Stoneveil Ridge</t>
  </si>
  <si>
    <t>Larkthorn Hollow</t>
  </si>
  <si>
    <t>Brookshade Path</t>
  </si>
  <si>
    <t>Pinehush Crescent</t>
  </si>
  <si>
    <t>Driftveil Court</t>
  </si>
  <si>
    <t>Embergrove Way</t>
  </si>
  <si>
    <t>Willowcrest Hollow</t>
  </si>
  <si>
    <t>Cedarfog Lane</t>
  </si>
  <si>
    <t>Mossveil Path</t>
  </si>
  <si>
    <t>Silverroot Crossing</t>
  </si>
  <si>
    <t>Hollowbrook Crest</t>
  </si>
  <si>
    <t>Autumnshade Lane</t>
  </si>
  <si>
    <t>Stonefern Loop</t>
  </si>
  <si>
    <t>Frosthollow Drive</t>
  </si>
  <si>
    <t>Meadowveil Court</t>
  </si>
  <si>
    <t>Willowmere Rise</t>
  </si>
  <si>
    <t>Cedarfall Hollow</t>
  </si>
  <si>
    <t>Pinehollow Trace</t>
  </si>
  <si>
    <t>Riverglass Court</t>
  </si>
  <si>
    <t>Emberwood Hollow</t>
  </si>
  <si>
    <t>Northwind Hollow</t>
  </si>
  <si>
    <t>Maplehollow Path</t>
  </si>
  <si>
    <t>Brookfield Hollow</t>
  </si>
  <si>
    <t>Stoneveil Court</t>
  </si>
  <si>
    <t>Willowridge Hollow</t>
  </si>
  <si>
    <t>Cedarbrook Loop</t>
  </si>
  <si>
    <t>Frostvale Path</t>
  </si>
  <si>
    <t>Emberleaf Hollow</t>
  </si>
  <si>
    <t>Pinewind Crest</t>
  </si>
  <si>
    <t>Hollowbrook Lane</t>
  </si>
  <si>
    <t>Meadowridge Hollow</t>
  </si>
  <si>
    <t>Cedarfog Court</t>
  </si>
  <si>
    <t>Stonepine Hollow</t>
  </si>
  <si>
    <t>Willowcrest Rise</t>
  </si>
  <si>
    <t>Riverstone Hollow</t>
  </si>
  <si>
    <t>Frostwood Hollow</t>
  </si>
  <si>
    <t>Maplewood Crest</t>
  </si>
  <si>
    <t>Embercrest Lane</t>
  </si>
  <si>
    <t>Pinevale Hollow</t>
  </si>
  <si>
    <t>Cedarbrook Hollow</t>
  </si>
  <si>
    <t>Willowgate Path</t>
  </si>
  <si>
    <t>Stonewood Hollow</t>
  </si>
  <si>
    <t>Brookstone Crest</t>
  </si>
  <si>
    <t>Frostmere Hollow</t>
  </si>
  <si>
    <t>Meadowbrook Path</t>
  </si>
  <si>
    <t>Pinehollow Crest</t>
  </si>
  <si>
    <t>Cedarwind Hollow</t>
  </si>
  <si>
    <t>Emberstone Path</t>
  </si>
  <si>
    <t>Willowfield Hollow</t>
  </si>
  <si>
    <t>Stonecrest Hollow</t>
  </si>
  <si>
    <t>Riverpine Path</t>
  </si>
  <si>
    <t>Maplewind Hollow</t>
  </si>
  <si>
    <t>Frostpine Crest</t>
  </si>
  <si>
    <t>Cedarvale Hollow</t>
  </si>
  <si>
    <t>Meadowpine Path</t>
  </si>
  <si>
    <t>Willowstone Hollow</t>
  </si>
  <si>
    <t>Embervale Crest</t>
  </si>
  <si>
    <t>Pinebrook Hollow</t>
  </si>
  <si>
    <t>Stoneleaf Path</t>
  </si>
  <si>
    <t>Cedarcrest Hollow</t>
  </si>
  <si>
    <t>Hollowpine Crest</t>
  </si>
  <si>
    <t>Frostleaf Hollow</t>
  </si>
  <si>
    <t>Riverpine Crest</t>
  </si>
  <si>
    <t>Maplecrest Hollow</t>
  </si>
  <si>
    <t>Willowbrook Crest</t>
  </si>
  <si>
    <t>Cedarstone Hollow</t>
  </si>
  <si>
    <t>Emberwood Crest</t>
  </si>
  <si>
    <t>Frostvale Hollow</t>
  </si>
  <si>
    <t>Pinecrest Path</t>
  </si>
  <si>
    <t>Meadowstone Hollow</t>
  </si>
  <si>
    <t>Stonebrook Crest</t>
  </si>
  <si>
    <t>Willowpine Hollow</t>
  </si>
  <si>
    <t>Cedarwind Crest</t>
  </si>
  <si>
    <t>Emberpine Hollow</t>
  </si>
  <si>
    <t>Frostbrook Crest</t>
  </si>
  <si>
    <t>Maplevale Hollow</t>
  </si>
  <si>
    <t>Meadowleaf Hollow</t>
  </si>
  <si>
    <t>Cedarpine Crest</t>
  </si>
  <si>
    <t>Willowvale Hollow</t>
  </si>
  <si>
    <t>Embercrest Hollow</t>
  </si>
  <si>
    <t>Stonewind Crest</t>
  </si>
  <si>
    <t>Coded by SB 6.15.26</t>
  </si>
  <si>
    <t>Coded by SB 6.16.26</t>
  </si>
  <si>
    <t>Coded by SB 6.17.26</t>
  </si>
  <si>
    <t>Coded by SB 6.18.26</t>
  </si>
  <si>
    <t>9C3E1</t>
  </si>
  <si>
    <t>D8F20</t>
  </si>
  <si>
    <t>1B7A9</t>
  </si>
  <si>
    <t>6E4C8</t>
  </si>
  <si>
    <t>0FA31</t>
  </si>
  <si>
    <t>C7D92</t>
  </si>
  <si>
    <t>5A8F0</t>
  </si>
  <si>
    <t>3E19B</t>
  </si>
  <si>
    <t>A0C5D</t>
  </si>
  <si>
    <t>8B2E7</t>
  </si>
  <si>
    <t>F4A10</t>
  </si>
  <si>
    <t>71C8D</t>
  </si>
  <si>
    <t>E9B34</t>
  </si>
  <si>
    <t>2F0C6</t>
  </si>
  <si>
    <t>4D7A1</t>
  </si>
  <si>
    <t>9F2B8</t>
  </si>
  <si>
    <t>C1E50</t>
  </si>
  <si>
    <t>6A9D3</t>
  </si>
  <si>
    <t>B0F84</t>
  </si>
  <si>
    <t>3C7E2</t>
  </si>
  <si>
    <t>A9D01</t>
  </si>
  <si>
    <t>F6B3C</t>
  </si>
  <si>
    <t>2E8A5</t>
  </si>
  <si>
    <t>7C0F9</t>
  </si>
  <si>
    <t>D3A6E</t>
  </si>
  <si>
    <t>5F1C8</t>
  </si>
  <si>
    <t>8A7B2</t>
  </si>
  <si>
    <t>0D9F4</t>
  </si>
  <si>
    <t>C6E11</t>
  </si>
  <si>
    <t>1A3F7</t>
  </si>
  <si>
    <t>B8D20</t>
  </si>
  <si>
    <t>4F9C1</t>
  </si>
  <si>
    <t>E2A6D</t>
  </si>
  <si>
    <t>7B5F0</t>
  </si>
  <si>
    <t>9A1C8</t>
  </si>
  <si>
    <t>D0E73</t>
  </si>
  <si>
    <t>3F8A2</t>
  </si>
  <si>
    <t>C5B19</t>
  </si>
  <si>
    <t>6D2F4</t>
  </si>
  <si>
    <t>A7E80</t>
  </si>
  <si>
    <t>F1C63</t>
  </si>
  <si>
    <t>8D4A9</t>
  </si>
  <si>
    <t>2B7E1</t>
  </si>
  <si>
    <t>5C9F6</t>
  </si>
  <si>
    <t>E0A82</t>
  </si>
  <si>
    <t>1F6B4</t>
  </si>
  <si>
    <t>D8C31</t>
  </si>
  <si>
    <t>7A0E5</t>
  </si>
  <si>
    <t>B3F92</t>
  </si>
  <si>
    <t>4C1D7</t>
  </si>
  <si>
    <t>9E5A0</t>
  </si>
  <si>
    <t>F7B18</t>
  </si>
  <si>
    <t>2A9C3</t>
  </si>
  <si>
    <t>C0F46</t>
  </si>
  <si>
    <t>6B8D1</t>
  </si>
  <si>
    <t>A5F79</t>
  </si>
  <si>
    <t>1C2E8</t>
  </si>
  <si>
    <t>D9A34</t>
  </si>
  <si>
    <t>3B6F0</t>
  </si>
  <si>
    <t>8C1A7</t>
  </si>
  <si>
    <t>F0D92</t>
  </si>
  <si>
    <t>5A3E6</t>
  </si>
  <si>
    <t>B7C10</t>
  </si>
  <si>
    <t>2F8D4</t>
  </si>
  <si>
    <t>9C6B1</t>
  </si>
  <si>
    <t>E4A70</t>
  </si>
  <si>
    <t>0B5F9</t>
  </si>
  <si>
    <t>C8D23</t>
  </si>
  <si>
    <t>7A1F6</t>
  </si>
  <si>
    <t>D2C89</t>
  </si>
  <si>
    <t>4E0B3</t>
  </si>
  <si>
    <t>A6F12</t>
  </si>
  <si>
    <t>F9C05</t>
  </si>
  <si>
    <t>3D7A8</t>
  </si>
  <si>
    <t>1B4E9</t>
  </si>
  <si>
    <t>6F2C0</t>
  </si>
  <si>
    <t>B8A63</t>
  </si>
  <si>
    <t>5D9F1</t>
  </si>
  <si>
    <t>C3E74</t>
  </si>
  <si>
    <t>0A8B6</t>
  </si>
  <si>
    <t>E1D39</t>
  </si>
  <si>
    <t>7F5A2</t>
  </si>
  <si>
    <t>2C6B8</t>
  </si>
  <si>
    <t>D4F10</t>
  </si>
  <si>
    <t>A9C57</t>
  </si>
  <si>
    <t>8E2D3</t>
  </si>
  <si>
    <t>F6A91</t>
  </si>
  <si>
    <t>3B0C8</t>
  </si>
  <si>
    <t>1F7D5</t>
  </si>
  <si>
    <t>C9A20</t>
  </si>
  <si>
    <t>N42BB</t>
  </si>
  <si>
    <t>larkspire.hollow01@embermail.net</t>
  </si>
  <si>
    <t>emberwatch.crescent02@stoneveil.org</t>
  </si>
  <si>
    <t>willowmere.cross03@frostline.net</t>
  </si>
  <si>
    <t>frostbloom.path04@riverglow.org</t>
  </si>
  <si>
    <t>thornwhistle.bend05@cedarbyte.net</t>
  </si>
  <si>
    <t>sunveil.arbor06@mistvale.org</t>
  </si>
  <si>
    <t>pineveil.hollow07@hollownet.net</t>
  </si>
  <si>
    <t>bramblelight.street08@skyroot.org</t>
  </si>
  <si>
    <t>silverhollow.crest09@windflare.net</t>
  </si>
  <si>
    <t>cloudfern.ave10@lumenpost.org</t>
  </si>
  <si>
    <t>hollowglen.reach11@embernet.net</t>
  </si>
  <si>
    <t>moonridge.path12@stonecloud.org</t>
  </si>
  <si>
    <t>emberdell.rise13@frostpost.net</t>
  </si>
  <si>
    <t>cedarwhisper.blvd14@riverpost.org</t>
  </si>
  <si>
    <t>starbark.loop15@mistmail.net</t>
  </si>
  <si>
    <t>willowshade.cross16@hollowflare.org</t>
  </si>
  <si>
    <t>fernhollow.trace17@skybridge.net</t>
  </si>
  <si>
    <t>stoneveil.ridge18@cedarnet.org</t>
  </si>
  <si>
    <t>larkthorn.hollow19@embercloud.net</t>
  </si>
  <si>
    <t>brookshade.path20@frostmail.org</t>
  </si>
  <si>
    <t>pinehush.crescent21@riverline.net</t>
  </si>
  <si>
    <t>driftveil.court22@stonepost.org</t>
  </si>
  <si>
    <t>embergrove.way23@windmail.net</t>
  </si>
  <si>
    <t>willowcrest.hollow24@lumenflare.org</t>
  </si>
  <si>
    <t>cedarfog.lane25@hollowpost.net</t>
  </si>
  <si>
    <t>mossveil.path26@emberline.org</t>
  </si>
  <si>
    <t>silverroot.cross27@frostnet.net</t>
  </si>
  <si>
    <t>hollowbrook.crest28@rivercloud.org</t>
  </si>
  <si>
    <t>autumnshade.lane29@mistpost.net</t>
  </si>
  <si>
    <t>stonefern.loop30@skyline.org</t>
  </si>
  <si>
    <t>frosthollow.drive31@emberflare.net</t>
  </si>
  <si>
    <t>meadowveil.court32@cedarpost.org</t>
  </si>
  <si>
    <t>willowmere.rise33@stonebridge.net</t>
  </si>
  <si>
    <t>cedarfall.hollow34@frostline.org</t>
  </si>
  <si>
    <t>pinehollow.trace35@rivermail.net</t>
  </si>
  <si>
    <t>riverglass.court36@mistflare.org</t>
  </si>
  <si>
    <t>emberwood.hollow37@hollowmail.net</t>
  </si>
  <si>
    <t>northwind.hollow38@skypost.org</t>
  </si>
  <si>
    <t>maplehollow.path39@lumenline.net</t>
  </si>
  <si>
    <t>brookfield.hollow40@stoneflare.org</t>
  </si>
  <si>
    <t>stoneveil.court41@emberpost.net</t>
  </si>
  <si>
    <t>willowridge.hollow42@frostmail.org</t>
  </si>
  <si>
    <t>cedarbrook.loop43@rivernet.net</t>
  </si>
  <si>
    <t>frostvale.path44@mistpost.org</t>
  </si>
  <si>
    <t>emberleaf.hollow45@skyflare.net</t>
  </si>
  <si>
    <t>pinewind.crest46@hollowline.org</t>
  </si>
  <si>
    <t>hollowbrook.lane47@cedarcloud.net</t>
  </si>
  <si>
    <t>meadowridge.hollow48@embermail.org</t>
  </si>
  <si>
    <t>cedarfog.court49@frostnet.org</t>
  </si>
  <si>
    <t>stonepine.hollow50@riverpost.net</t>
  </si>
  <si>
    <t>willowcrest.rise51@mistline.org</t>
  </si>
  <si>
    <t>riverstone.hollow52@skybridge.net</t>
  </si>
  <si>
    <t>frostwood.hollow53@embernet.org</t>
  </si>
  <si>
    <t>maplewood.crest54@stonepost.net</t>
  </si>
  <si>
    <t>embercrest.lane55@hollowmail.org</t>
  </si>
  <si>
    <t>pinevale.hollow56@cedarline.net</t>
  </si>
  <si>
    <t>cedarbrook.hollow57@frostflare.org</t>
  </si>
  <si>
    <t>willowgate.path58@rivernet.org</t>
  </si>
  <si>
    <t>stonewood.hollow59@mistmail.net</t>
  </si>
  <si>
    <t>brookstone.crest60@skyline.net</t>
  </si>
  <si>
    <t>frostmere.hollow61@emberpost.org</t>
  </si>
  <si>
    <t>meadowbrook.path62@stonecloud.net</t>
  </si>
  <si>
    <t>pinehollow.crest63@rivermail.org</t>
  </si>
  <si>
    <t>cedarwind.hollow64@frostpost.net</t>
  </si>
  <si>
    <t>emberstone.path65@hollowline.net</t>
  </si>
  <si>
    <t>willowfield.hollow66@mistflare.org</t>
  </si>
  <si>
    <t>stonecrest.hollow67@skypost.net</t>
  </si>
  <si>
    <t>riverpine.path68@embernet.net</t>
  </si>
  <si>
    <t>maplewind.hollow69@cedarpost.org</t>
  </si>
  <si>
    <t>frostpine.crest70@stonemail.net</t>
  </si>
  <si>
    <t>cedarvale.hollow71@riverflare.org</t>
  </si>
  <si>
    <t>meadowpine.path72@hollownet.net</t>
  </si>
  <si>
    <t>willowstone.hollow73@mistpost.org</t>
  </si>
  <si>
    <t>embervale.crest74@skyline.net</t>
  </si>
  <si>
    <t>pinebrook.hollow75@frostmail.org</t>
  </si>
  <si>
    <t>stoneleaf.path76@emberpost.net</t>
  </si>
  <si>
    <t>cedarcrest.hollow77@rivernet.org</t>
  </si>
  <si>
    <t>hollowpine.crest78@stonecloud.net</t>
  </si>
  <si>
    <t>frostleaf.hollow79@mistline.org</t>
  </si>
  <si>
    <t>riverpine.crest80@skyflare.net</t>
  </si>
  <si>
    <t>maplecrest.hollow81@embermail.org</t>
  </si>
  <si>
    <t>willowbrook.crest82@frostnet.org</t>
  </si>
  <si>
    <t>cedarstone.hollow83@riverpost.net</t>
  </si>
  <si>
    <t>emberwood.crest84@hollowmail.org</t>
  </si>
  <si>
    <t>frostvale.hollow85@stonepost.net</t>
  </si>
  <si>
    <t>pinecrest.path86@embernet.org</t>
  </si>
  <si>
    <t>meadowstone.hollow87@rivermail.net</t>
  </si>
  <si>
    <t>stonebrook.crest88@mistflare.org</t>
  </si>
  <si>
    <t>willowpine.hollow89@skyline.net</t>
  </si>
  <si>
    <t>cedarwind.crest90@frostmail.org</t>
  </si>
  <si>
    <t>emberpine.hollow91@riverpost.net</t>
  </si>
  <si>
    <t>frostbrook.crest92@stonecloud.org</t>
  </si>
  <si>
    <t>maplevale.hollow93@hollownet.net</t>
  </si>
  <si>
    <t>riverstone.hollow94@embermail.org</t>
  </si>
  <si>
    <t>pinewind.crest95@mistpost.net</t>
  </si>
  <si>
    <t>meadowleaf.hollow96@skyflare.org</t>
  </si>
  <si>
    <t>cedarpine.crest97@frostnet.net</t>
  </si>
  <si>
    <t>willowvale.hollow98@riverpost.org</t>
  </si>
  <si>
    <t>embercrest.hollow99@stonemail.net</t>
  </si>
  <si>
    <t>stonewind.crest100@hollowflare.org</t>
  </si>
  <si>
    <t>AS confirmed via text 3/4</t>
  </si>
  <si>
    <t>EZ confirmed via DMC 3/2</t>
  </si>
  <si>
    <t>CH called, no answer, left voicemail</t>
  </si>
  <si>
    <t>IC confirmed delivery via text 3/5</t>
  </si>
  <si>
    <t>GB confirmed via call 3/3</t>
  </si>
  <si>
    <t>AS confirmed via text 3/5</t>
  </si>
  <si>
    <t>CH sent text, awaiting response</t>
  </si>
  <si>
    <t>IC confirmed via call 3/4</t>
  </si>
  <si>
    <t>GB skip this week, out of town 3/2</t>
  </si>
  <si>
    <t>AS confirmed via call 3/5</t>
  </si>
  <si>
    <t>CH confirmed via text 3/4</t>
  </si>
  <si>
    <t>IC no answer, voicemail left 3/2</t>
  </si>
  <si>
    <t>GB confirmed via DMC 3/1</t>
  </si>
  <si>
    <t>AS confirmed via text 3/3</t>
  </si>
  <si>
    <t>EZ confirmed via DMC 3/5</t>
  </si>
  <si>
    <t>CH called, number busy</t>
  </si>
  <si>
    <t>IC confirmed via text 3/1</t>
  </si>
  <si>
    <t>GB confirmed via call 3/4</t>
  </si>
  <si>
    <t>AS confirmed via DMC 3/2</t>
  </si>
  <si>
    <t>EZ confirmed via text 3/3</t>
  </si>
  <si>
    <t>CH no answer, left voicemail</t>
  </si>
  <si>
    <t>IC confirmed via DMC 3/5</t>
  </si>
  <si>
    <t>GB confirmed via text 3/2</t>
  </si>
  <si>
    <t>AS confirmed via call 3/1</t>
  </si>
  <si>
    <t>EZ confirmed via DMC 3/4</t>
  </si>
  <si>
    <t>CH confirmed via text 3/3</t>
  </si>
  <si>
    <t>IC skip this week, unavailable 3/2</t>
  </si>
  <si>
    <t>GB confirmed via DMC 3/5</t>
  </si>
  <si>
    <t>EZ confirmed via call 3/3</t>
  </si>
  <si>
    <t>CH confirmed via DMC 3/2</t>
  </si>
  <si>
    <t>IC confirmed via text 3/5</t>
  </si>
  <si>
    <t>GB no answer, voicemail left 3/1</t>
  </si>
  <si>
    <t>AS confirmed via DMC 3/3</t>
  </si>
  <si>
    <t>EZ confirmed via text 3/2</t>
  </si>
  <si>
    <t>CH confirmed via call 3/4</t>
  </si>
  <si>
    <t>IC confirmed via DMC 3/1</t>
  </si>
  <si>
    <t>GB confirmed via text 3/5</t>
  </si>
  <si>
    <t>AS skip this week, travel 3/2</t>
  </si>
  <si>
    <t>CH confirmed via DMC 3/5</t>
  </si>
  <si>
    <t>IC called, no answer 3/4</t>
  </si>
  <si>
    <t>GB confirmed via call 3/1</t>
  </si>
  <si>
    <t>AS confirmed via text 3/2</t>
  </si>
  <si>
    <t>IC confirmed via call 3/2</t>
  </si>
  <si>
    <t>GB skip this week 3/4</t>
  </si>
  <si>
    <t>AS confirmed via DMC 3/5</t>
  </si>
  <si>
    <t>EZ confirmed via text 3/1</t>
  </si>
  <si>
    <t>CH no answer, voicemail left 3/3</t>
  </si>
  <si>
    <t>IC confirmed via text 3/4</t>
  </si>
  <si>
    <t>GB confirmed via DMC 3/2</t>
  </si>
  <si>
    <t>CH confirmed via text 3/1</t>
  </si>
  <si>
    <t>IC skip this week 3/4</t>
  </si>
  <si>
    <t>GB confirmed via call 3/5</t>
  </si>
  <si>
    <t>CH confirmed via call 3/3</t>
  </si>
  <si>
    <t>GB no answer, voicemail left 3/5</t>
  </si>
  <si>
    <t>CH confirmed via DMC 3/4</t>
  </si>
  <si>
    <t>IC confirmed via call 3/5</t>
  </si>
  <si>
    <t>GB confirmed via text 3/1</t>
  </si>
  <si>
    <t>AS skip this week 3/3</t>
  </si>
  <si>
    <t>CH confirmed via text 3/2</t>
  </si>
  <si>
    <t>IC no answer 3/4</t>
  </si>
  <si>
    <t>AS confirmed via text 3/1</t>
  </si>
  <si>
    <t>CH confirmed via call 3/5</t>
  </si>
  <si>
    <t>IC confirmed via text 3/3</t>
  </si>
  <si>
    <t>AS confirmed via DMC 3/1</t>
  </si>
  <si>
    <t>EZ confirmed via text 3/5</t>
  </si>
  <si>
    <t>CH no answer, voicemail 3/2</t>
  </si>
  <si>
    <t>IC confirmed via call 3/3</t>
  </si>
  <si>
    <t>GB confirmed via DMC 3/4</t>
  </si>
  <si>
    <t>EZ confirmed via call 3/2</t>
  </si>
  <si>
    <t>IC skip this week 3/3</t>
  </si>
  <si>
    <t>EZ confirmed via text 3/4</t>
  </si>
  <si>
    <t>GB no answer 3/5</t>
  </si>
  <si>
    <t>CH skip this week 3/3</t>
  </si>
  <si>
    <t>Call Notes 3/6</t>
  </si>
  <si>
    <t>Call Notes 3/13</t>
  </si>
  <si>
    <t>AS confirmed via text 3/11</t>
  </si>
  <si>
    <t>EZ confirmed via DMC 3/10</t>
  </si>
  <si>
    <t>CH no answer, voicemail left 3/12</t>
  </si>
  <si>
    <t>IC confirmed via call 3/11</t>
  </si>
  <si>
    <t>GB confirmed via text 3/10</t>
  </si>
  <si>
    <t>AS confirmed via call 3/12</t>
  </si>
  <si>
    <t>EZ confirmed via DMC 3/9</t>
  </si>
  <si>
    <t>CH sent text 3/11</t>
  </si>
  <si>
    <t>IC confirmed via text 3/10</t>
  </si>
  <si>
    <t>GB skip this week 3/9</t>
  </si>
  <si>
    <t>AS confirmed via DMC 3/12</t>
  </si>
  <si>
    <t>EZ confirmed via text 3/10</t>
  </si>
  <si>
    <t>CH confirmed via call 3/11</t>
  </si>
  <si>
    <t>IC no answer 3/12</t>
  </si>
  <si>
    <t>GB confirmed via DMC 3/9</t>
  </si>
  <si>
    <t>AS confirmed via text 3/10</t>
  </si>
  <si>
    <t>EZ confirmed via call 3/11</t>
  </si>
  <si>
    <t>CH voicemail left 3/12</t>
  </si>
  <si>
    <t>IC confirmed via DMC 3/9</t>
  </si>
  <si>
    <t>AS confirmed via call 3/11</t>
  </si>
  <si>
    <t>EZ confirmed via text 3/12</t>
  </si>
  <si>
    <t>CH no answer 3/10</t>
  </si>
  <si>
    <t>IC confirmed via text 3/9</t>
  </si>
  <si>
    <t>GB confirmed via call 3/11</t>
  </si>
  <si>
    <t>AS skip this week 3/10</t>
  </si>
  <si>
    <t>EZ confirmed via DMC 3/12</t>
  </si>
  <si>
    <t>CH confirmed via text 3/11</t>
  </si>
  <si>
    <t>IC confirmed via call 3/9</t>
  </si>
  <si>
    <t>GB voicemail left 3/10</t>
  </si>
  <si>
    <t>AS confirmed via text 3/12</t>
  </si>
  <si>
    <t>CH confirmed via DMC 3/10</t>
  </si>
  <si>
    <t>GB confirmed via text 3/11</t>
  </si>
  <si>
    <t>AS confirmed via DMC 3/9</t>
  </si>
  <si>
    <t>CH confirmed via call 3/12</t>
  </si>
  <si>
    <t>IC confirmed via DMC 3/11</t>
  </si>
  <si>
    <t>GB skip this week 3/10</t>
  </si>
  <si>
    <t>EZ confirmed via text 3/11</t>
  </si>
  <si>
    <t>CH voicemail left 3/10</t>
  </si>
  <si>
    <t>GB confirmed via call 3/12</t>
  </si>
  <si>
    <t>CH no answer 3/12</t>
  </si>
  <si>
    <t>GB confirmed via text 3/9</t>
  </si>
  <si>
    <t>AS confirmed via DMC 3/10</t>
  </si>
  <si>
    <t>IC skip this week 3/10</t>
  </si>
  <si>
    <t>GB no answer 3/11</t>
  </si>
  <si>
    <t>AS confirmed via text 3/9</t>
  </si>
  <si>
    <t>CH confirmed via text 3/10</t>
  </si>
  <si>
    <t>GB confirmed via DMC 3/12</t>
  </si>
  <si>
    <t>AS confirmed via call 3/10</t>
  </si>
  <si>
    <t>GB confirmed via call 3/10</t>
  </si>
  <si>
    <t>AS skip this week 3/11</t>
  </si>
  <si>
    <t>IC no answer 3/11</t>
  </si>
  <si>
    <t>GB confirmed via text 3/12</t>
  </si>
  <si>
    <t>AS confirmed via call 3/9</t>
  </si>
  <si>
    <t>CH confirmed via DMC 3/11</t>
  </si>
  <si>
    <t>IC confirmed via call 3/12</t>
  </si>
  <si>
    <t>EZ confirmed via call 3/12</t>
  </si>
  <si>
    <t>CH no answer 3/9</t>
  </si>
  <si>
    <t>CH voicemail left 3/11</t>
  </si>
  <si>
    <t>EZ confirmed via DMC 3/11</t>
  </si>
  <si>
    <t>CH confirmed via call 3/10</t>
  </si>
  <si>
    <t>CH skip this week 3/12</t>
  </si>
  <si>
    <t>Call Notes 3/20</t>
  </si>
  <si>
    <t>AS confirmed via text 3/18</t>
  </si>
  <si>
    <t>EZ confirmed via DMC 3/17</t>
  </si>
  <si>
    <t>CH no answer, voicemail left 3/19</t>
  </si>
  <si>
    <t>IC confirmed via call 3/18</t>
  </si>
  <si>
    <t>GB confirmed via text 3/17</t>
  </si>
  <si>
    <t>AS confirmed via call 3/19</t>
  </si>
  <si>
    <t>EZ confirmed via DMC 3/16</t>
  </si>
  <si>
    <t>CH sent text 3/18</t>
  </si>
  <si>
    <t>IC confirmed via text 3/17</t>
  </si>
  <si>
    <t>GB skip this week 3/16</t>
  </si>
  <si>
    <t>AS confirmed via DMC 3/19</t>
  </si>
  <si>
    <t>EZ confirmed via text 3/17</t>
  </si>
  <si>
    <t>CH confirmed via call 3/18</t>
  </si>
  <si>
    <t>IC no answer 3/19</t>
  </si>
  <si>
    <t>GB confirmed via DMC 3/16</t>
  </si>
  <si>
    <t>AS confirmed via text 3/17</t>
  </si>
  <si>
    <t>EZ confirmed via call 3/18</t>
  </si>
  <si>
    <t>CH voicemail left 3/19</t>
  </si>
  <si>
    <t>IC confirmed via DMC 3/16</t>
  </si>
  <si>
    <t>AS confirmed via call 3/18</t>
  </si>
  <si>
    <t>EZ confirmed via text 3/19</t>
  </si>
  <si>
    <t>CH no answer 3/17</t>
  </si>
  <si>
    <t>IC confirmed via text 3/16</t>
  </si>
  <si>
    <t>GB confirmed via call 3/18</t>
  </si>
  <si>
    <t>AS skip this week 3/17</t>
  </si>
  <si>
    <t>EZ confirmed via DMC 3/19</t>
  </si>
  <si>
    <t>CH confirmed via text 3/18</t>
  </si>
  <si>
    <t>IC confirmed via call 3/16</t>
  </si>
  <si>
    <t>GB voicemail left 3/17</t>
  </si>
  <si>
    <t>AS confirmed via text 3/19</t>
  </si>
  <si>
    <t>CH confirmed via DMC 3/17</t>
  </si>
  <si>
    <t>GB confirmed via text 3/18</t>
  </si>
  <si>
    <t>AS confirmed via DMC 3/16</t>
  </si>
  <si>
    <t>CH confirmed via call 3/19</t>
  </si>
  <si>
    <t>IC confirmed via DMC 3/18</t>
  </si>
  <si>
    <t>GB skip this week 3/17</t>
  </si>
  <si>
    <t>EZ confirmed via text 3/18</t>
  </si>
  <si>
    <t>CH voicemail left 3/17</t>
  </si>
  <si>
    <t>GB confirmed via call 3/19</t>
  </si>
  <si>
    <t>CH no answer 3/19</t>
  </si>
  <si>
    <t>GB confirmed via text 3/16</t>
  </si>
  <si>
    <t>AS confirmed via DMC 3/17</t>
  </si>
  <si>
    <t>IC skip this week 3/17</t>
  </si>
  <si>
    <t>GB no answer 3/18</t>
  </si>
  <si>
    <t>AS confirmed via text 3/16</t>
  </si>
  <si>
    <t>CH confirmed via text 3/17</t>
  </si>
  <si>
    <t>GB confirmed via DMC 3/19</t>
  </si>
  <si>
    <t>AS confirmed via call 3/17</t>
  </si>
  <si>
    <t>GB confirmed via call 3/17</t>
  </si>
  <si>
    <t>AS skip this week 3/18</t>
  </si>
  <si>
    <t>IC no answer 3/18</t>
  </si>
  <si>
    <t>GB confirmed via text 3/19</t>
  </si>
  <si>
    <t>AS confirmed via call 3/16</t>
  </si>
  <si>
    <t>CH confirmed via DMC 3/18</t>
  </si>
  <si>
    <t>IC confirmed via call 3/19</t>
  </si>
  <si>
    <t>EZ confirmed via call 3/19</t>
  </si>
  <si>
    <t>CH no answer 3/16</t>
  </si>
  <si>
    <t>CH voicemail left 3/18</t>
  </si>
  <si>
    <t>EZ confirmed via DMC 3/18</t>
  </si>
  <si>
    <t>CH confirmed via call 3/17</t>
  </si>
  <si>
    <t>CH skip this week 3/19</t>
  </si>
  <si>
    <t>Call Notes 3/27</t>
  </si>
  <si>
    <t>AS confirmed via text 3/25</t>
  </si>
  <si>
    <t>EZ confirmed via DMC 3/24</t>
  </si>
  <si>
    <t>CH no answer, voicemail left 3/26</t>
  </si>
  <si>
    <t>IC confirmed via call 3/25</t>
  </si>
  <si>
    <t>GB confirmed via text 3/24</t>
  </si>
  <si>
    <t>AS confirmed via call 3/26</t>
  </si>
  <si>
    <t>EZ confirmed via DMC 3/23</t>
  </si>
  <si>
    <t>CH sent text 3/25</t>
  </si>
  <si>
    <t>IC confirmed via text 3/24</t>
  </si>
  <si>
    <t>GB skip this week 3/23</t>
  </si>
  <si>
    <t>AS confirmed via DMC 3/26</t>
  </si>
  <si>
    <t>EZ confirmed via text 3/24</t>
  </si>
  <si>
    <t>CH confirmed via call 3/25</t>
  </si>
  <si>
    <t>IC no answer 3/26</t>
  </si>
  <si>
    <t>GB confirmed via DMC 3/23</t>
  </si>
  <si>
    <t>AS confirmed via text 3/24</t>
  </si>
  <si>
    <t>EZ confirmed via call 3/25</t>
  </si>
  <si>
    <t>CH voicemail left 3/26</t>
  </si>
  <si>
    <t>IC confirmed via DMC 3/23</t>
  </si>
  <si>
    <t>AS confirmed via call 3/25</t>
  </si>
  <si>
    <t>EZ confirmed via text 3/26</t>
  </si>
  <si>
    <t>CH no answer 3/24</t>
  </si>
  <si>
    <t>IC confirmed via text 3/23</t>
  </si>
  <si>
    <t>GB confirmed via call 3/25</t>
  </si>
  <si>
    <t>AS skip this week 3/24</t>
  </si>
  <si>
    <t>EZ confirmed via DMC 3/26</t>
  </si>
  <si>
    <t>CH confirmed via text 3/25</t>
  </si>
  <si>
    <t>IC confirmed via call 3/23</t>
  </si>
  <si>
    <t>GB voicemail left 3/24</t>
  </si>
  <si>
    <t>AS confirmed via text 3/26</t>
  </si>
  <si>
    <t>CH confirmed via DMC 3/24</t>
  </si>
  <si>
    <t>GB confirmed via text 3/25</t>
  </si>
  <si>
    <t>AS confirmed via DMC 3/23</t>
  </si>
  <si>
    <t>CH confirmed via call 3/26</t>
  </si>
  <si>
    <t>IC confirmed via DMC 3/25</t>
  </si>
  <si>
    <t>GB skip this week 3/24</t>
  </si>
  <si>
    <t>EZ confirmed via text 3/25</t>
  </si>
  <si>
    <t>CH voicemail left 3/24</t>
  </si>
  <si>
    <t>GB confirmed via call 3/26</t>
  </si>
  <si>
    <t>CH no answer 3/26</t>
  </si>
  <si>
    <t>GB confirmed via text 3/23</t>
  </si>
  <si>
    <t>AS confirmed via DMC 3/24</t>
  </si>
  <si>
    <t>IC skip this week 3/24</t>
  </si>
  <si>
    <t>GB no answer 3/25</t>
  </si>
  <si>
    <t>AS confirmed via text 3/23</t>
  </si>
  <si>
    <t>CH confirmed via text 3/24</t>
  </si>
  <si>
    <t>GB confirmed via DMC 3/26</t>
  </si>
  <si>
    <t>AS confirmed via call 3/24</t>
  </si>
  <si>
    <t>GB confirmed via call 3/24</t>
  </si>
  <si>
    <t>AS skip this week 3/25</t>
  </si>
  <si>
    <t>IC no answer 3/25</t>
  </si>
  <si>
    <t>GB confirmed via text 3/26</t>
  </si>
  <si>
    <t>AS confirmed via call 3/23</t>
  </si>
  <si>
    <t>CH confirmed via DMC 3/25</t>
  </si>
  <si>
    <t>IC confirmed via call 3/26</t>
  </si>
  <si>
    <t>EZ confirmed via call 3/26</t>
  </si>
  <si>
    <t>CH no answer 3/23</t>
  </si>
  <si>
    <t>CH voicemail left 3/25</t>
  </si>
  <si>
    <t>EZ confirmed via DMC 3/25</t>
  </si>
  <si>
    <t>CH confirmed via call 3/24</t>
  </si>
  <si>
    <t>CH skip this week 3/26</t>
  </si>
  <si>
    <t>Call Notes 4/3</t>
  </si>
  <si>
    <t>AS confirmed via text 4/1</t>
  </si>
  <si>
    <t>EZ confirmed via DMC 3/31</t>
  </si>
  <si>
    <t>CH no answer, voicemail left 4/2</t>
  </si>
  <si>
    <t>IC confirmed via call 4/1</t>
  </si>
  <si>
    <t>GB confirmed via text 3/31</t>
  </si>
  <si>
    <t>AS confirmed via call 4/2</t>
  </si>
  <si>
    <t>EZ confirmed via DMC 3/30</t>
  </si>
  <si>
    <t>CH sent text 4/1</t>
  </si>
  <si>
    <t>IC confirmed via text 3/31</t>
  </si>
  <si>
    <t>GB skip this week 3/30</t>
  </si>
  <si>
    <t>AS confirmed via DMC 4/2</t>
  </si>
  <si>
    <t>EZ confirmed via text 3/31</t>
  </si>
  <si>
    <t>CH confirmed via call 4/1</t>
  </si>
  <si>
    <t>IC no answer 4/2</t>
  </si>
  <si>
    <t>GB confirmed via DMC 3/30</t>
  </si>
  <si>
    <t>AS confirmed via text 3/31</t>
  </si>
  <si>
    <t>EZ confirmed via call 4/1</t>
  </si>
  <si>
    <t>CH voicemail left 4/2</t>
  </si>
  <si>
    <t>IC confirmed via DMC 3/30</t>
  </si>
  <si>
    <t>AS confirmed via call 4/1</t>
  </si>
  <si>
    <t>EZ confirmed via text 4/2</t>
  </si>
  <si>
    <t>CH no answer 3/31</t>
  </si>
  <si>
    <t>IC confirmed via text 3/30</t>
  </si>
  <si>
    <t>GB confirmed via call 4/1</t>
  </si>
  <si>
    <t>AS skip this week 3/31</t>
  </si>
  <si>
    <t>EZ confirmed via DMC 4/2</t>
  </si>
  <si>
    <t>CH confirmed via text 4/1</t>
  </si>
  <si>
    <t>IC confirmed via call 3/30</t>
  </si>
  <si>
    <t>GB voicemail left 3/31</t>
  </si>
  <si>
    <t>AS confirmed via text 4/2</t>
  </si>
  <si>
    <t>CH confirmed via DMC 3/31</t>
  </si>
  <si>
    <t>GB confirmed via text 4/1</t>
  </si>
  <si>
    <t>AS confirmed via DMC 3/30</t>
  </si>
  <si>
    <t>CH confirmed via call 4/2</t>
  </si>
  <si>
    <t>IC confirmed via DMC 4/1</t>
  </si>
  <si>
    <t>GB skip this week 3/31</t>
  </si>
  <si>
    <t>EZ confirmed via text 4/1</t>
  </si>
  <si>
    <t>CH voicemail left 3/31</t>
  </si>
  <si>
    <t>GB confirmed via call 4/2</t>
  </si>
  <si>
    <t>CH no answer 4/2</t>
  </si>
  <si>
    <t>GB confirmed via text 3/30</t>
  </si>
  <si>
    <t>AS confirmed via DMC 3/31</t>
  </si>
  <si>
    <t>IC skip this week 3/31</t>
  </si>
  <si>
    <t>GB no answer 4/1</t>
  </si>
  <si>
    <t>AS confirmed via text 3/30</t>
  </si>
  <si>
    <t>CH confirmed via text 3/31</t>
  </si>
  <si>
    <t>GB confirmed via DMC 4/2</t>
  </si>
  <si>
    <t>AS confirmed via call 3/31</t>
  </si>
  <si>
    <t>GB confirmed via call 3/31</t>
  </si>
  <si>
    <t>AS skip this week 4/1</t>
  </si>
  <si>
    <t>IC no answer 4/1</t>
  </si>
  <si>
    <t>GB confirmed via text 4/2</t>
  </si>
  <si>
    <t>AS confirmed via call 3/30</t>
  </si>
  <si>
    <t>CH confirmed via DMC 4/1</t>
  </si>
  <si>
    <t>IC confirmed via call 4/2</t>
  </si>
  <si>
    <t>EZ confirmed via call 4/2</t>
  </si>
  <si>
    <t>CH no answer 3/30</t>
  </si>
  <si>
    <t>CH voicemail left 4/1</t>
  </si>
  <si>
    <t>EZ confirmed via DMC 4/1</t>
  </si>
  <si>
    <t>CH confirmed via call 3/31</t>
  </si>
  <si>
    <t>CH skip this week 4/2</t>
  </si>
  <si>
    <t>Call Notes 4/10</t>
  </si>
  <si>
    <t>Call Notes 4/17</t>
  </si>
  <si>
    <t>Call Notes 4/24</t>
  </si>
  <si>
    <t>AS confirmed via text 4/8</t>
  </si>
  <si>
    <t>EZ confirmed via DMC 4/7</t>
  </si>
  <si>
    <t>CH no answer, voicemail left 4/9</t>
  </si>
  <si>
    <t>IC confirmed via call 4/8</t>
  </si>
  <si>
    <t>GB confirmed via text 4/7</t>
  </si>
  <si>
    <t>AS confirmed via call 4/9</t>
  </si>
  <si>
    <t>EZ confirmed via DMC 4/6</t>
  </si>
  <si>
    <t>CH sent text 4/8</t>
  </si>
  <si>
    <t>IC confirmed via text 4/7</t>
  </si>
  <si>
    <t>GB skip this week 4/6</t>
  </si>
  <si>
    <t>AS confirmed via DMC 4/9</t>
  </si>
  <si>
    <t>EZ confirmed via text 4/7</t>
  </si>
  <si>
    <t>CH confirmed via call 4/8</t>
  </si>
  <si>
    <t>IC no answer 4/9</t>
  </si>
  <si>
    <t>GB confirmed via DMC 4/6</t>
  </si>
  <si>
    <t>AS confirmed via text 4/7</t>
  </si>
  <si>
    <t>EZ confirmed via call 4/8</t>
  </si>
  <si>
    <t>CH voicemail left 4/9</t>
  </si>
  <si>
    <t>IC confirmed via DMC 4/6</t>
  </si>
  <si>
    <t>AS confirmed via call 4/8</t>
  </si>
  <si>
    <t>EZ confirmed via text 4/9</t>
  </si>
  <si>
    <t>CH no answer 4/7</t>
  </si>
  <si>
    <t>IC confirmed via text 4/6</t>
  </si>
  <si>
    <t>GB confirmed via call 4/8</t>
  </si>
  <si>
    <t>AS skip this week 4/7</t>
  </si>
  <si>
    <t>EZ confirmed via DMC 4/9</t>
  </si>
  <si>
    <t>CH confirmed via text 4/8</t>
  </si>
  <si>
    <t>IC confirmed via call 4/6</t>
  </si>
  <si>
    <t>GB voicemail left 4/7</t>
  </si>
  <si>
    <t>AS confirmed via text 4/9</t>
  </si>
  <si>
    <t>CH confirmed via DMC 4/7</t>
  </si>
  <si>
    <t>GB confirmed via text 4/8</t>
  </si>
  <si>
    <t>AS confirmed via DMC 4/6</t>
  </si>
  <si>
    <t>CH confirmed via call 4/9</t>
  </si>
  <si>
    <t>IC confirmed via DMC 4/8</t>
  </si>
  <si>
    <t>GB skip this week 4/7</t>
  </si>
  <si>
    <t>EZ confirmed via text 4/8</t>
  </si>
  <si>
    <t>CH voicemail left 4/7</t>
  </si>
  <si>
    <t>GB confirmed via call 4/9</t>
  </si>
  <si>
    <t>CH no answer 4/9</t>
  </si>
  <si>
    <t>GB confirmed via text 4/6</t>
  </si>
  <si>
    <t>AS confirmed via DMC 4/7</t>
  </si>
  <si>
    <t>IC skip this week 4/7</t>
  </si>
  <si>
    <t>GB no answer 4/8</t>
  </si>
  <si>
    <t>AS confirmed via text 4/6</t>
  </si>
  <si>
    <t>CH confirmed via text 4/7</t>
  </si>
  <si>
    <t>GB confirmed via DMC 4/9</t>
  </si>
  <si>
    <t>AS confirmed via call 4/7</t>
  </si>
  <si>
    <t>GB confirmed via call 4/7</t>
  </si>
  <si>
    <t>AS skip this week 4/8</t>
  </si>
  <si>
    <t>IC no answer 4/8</t>
  </si>
  <si>
    <t>GB confirmed via text 4/9</t>
  </si>
  <si>
    <t>AS confirmed via call 4/6</t>
  </si>
  <si>
    <t>CH confirmed via DMC 4/8</t>
  </si>
  <si>
    <t>IC confirmed via call 4/9</t>
  </si>
  <si>
    <t>EZ confirmed via call 4/9</t>
  </si>
  <si>
    <t>CH no answer 4/6</t>
  </si>
  <si>
    <t>CH voicemail left 4/8</t>
  </si>
  <si>
    <t>EZ confirmed via DMC 4/8</t>
  </si>
  <si>
    <t>CH confirmed via call 4/7</t>
  </si>
  <si>
    <t>CH skip this week 4/9</t>
  </si>
  <si>
    <t>AS confirmed via text 4/15</t>
  </si>
  <si>
    <t>EZ confirmed via DMC 4/14</t>
  </si>
  <si>
    <t>CH no answer, voicemail left 4/16</t>
  </si>
  <si>
    <t>IC confirmed via call 4/15</t>
  </si>
  <si>
    <t>GB confirmed via text 4/14</t>
  </si>
  <si>
    <t>AS confirmed via call 4/16</t>
  </si>
  <si>
    <t>EZ confirmed via DMC 4/13</t>
  </si>
  <si>
    <t>CH sent text 4/15</t>
  </si>
  <si>
    <t>IC confirmed via text 4/14</t>
  </si>
  <si>
    <t>GB skip this week 4/13</t>
  </si>
  <si>
    <t>AS confirmed via DMC 4/16</t>
  </si>
  <si>
    <t>EZ confirmed via text 4/14</t>
  </si>
  <si>
    <t>CH confirmed via call 4/15</t>
  </si>
  <si>
    <t>IC no answer 4/16</t>
  </si>
  <si>
    <t>GB confirmed via DMC 4/13</t>
  </si>
  <si>
    <t>AS confirmed via text 4/14</t>
  </si>
  <si>
    <t>EZ confirmed via call 4/15</t>
  </si>
  <si>
    <t>CH voicemail left 4/16</t>
  </si>
  <si>
    <t>IC confirmed via DMC 4/13</t>
  </si>
  <si>
    <t>AS confirmed via call 4/15</t>
  </si>
  <si>
    <t>EZ confirmed via text 4/16</t>
  </si>
  <si>
    <t>CH no answer 4/14</t>
  </si>
  <si>
    <t>IC confirmed via text 4/13</t>
  </si>
  <si>
    <t>GB confirmed via call 4/15</t>
  </si>
  <si>
    <t>AS skip this week 4/14</t>
  </si>
  <si>
    <t>EZ confirmed via DMC 4/16</t>
  </si>
  <si>
    <t>CH confirmed via text 4/15</t>
  </si>
  <si>
    <t>IC confirmed via call 4/13</t>
  </si>
  <si>
    <t>GB voicemail left 4/14</t>
  </si>
  <si>
    <t>AS confirmed via text 4/16</t>
  </si>
  <si>
    <t>CH confirmed via DMC 4/14</t>
  </si>
  <si>
    <t>GB confirmed via text 4/15</t>
  </si>
  <si>
    <t>AS confirmed via DMC 4/13</t>
  </si>
  <si>
    <t>CH confirmed via call 4/16</t>
  </si>
  <si>
    <t>IC confirmed via DMC 4/15</t>
  </si>
  <si>
    <t>GB skip this week 4/14</t>
  </si>
  <si>
    <t>EZ confirmed via text 4/15</t>
  </si>
  <si>
    <t>CH voicemail left 4/14</t>
  </si>
  <si>
    <t>GB confirmed via call 4/16</t>
  </si>
  <si>
    <t>CH no answer 4/16</t>
  </si>
  <si>
    <t>GB confirmed via text 4/13</t>
  </si>
  <si>
    <t>AS confirmed via DMC 4/14</t>
  </si>
  <si>
    <t>IC skip this week 4/14</t>
  </si>
  <si>
    <t>GB no answer 4/15</t>
  </si>
  <si>
    <t>AS confirmed via text 4/13</t>
  </si>
  <si>
    <t>CH confirmed via text 4/14</t>
  </si>
  <si>
    <t>GB confirmed via DMC 4/16</t>
  </si>
  <si>
    <t>AS confirmed via call 4/14</t>
  </si>
  <si>
    <t>GB confirmed via call 4/14</t>
  </si>
  <si>
    <t>AS skip this week 4/15</t>
  </si>
  <si>
    <t>IC no answer 4/15</t>
  </si>
  <si>
    <t>GB confirmed via text 4/16</t>
  </si>
  <si>
    <t>AS confirmed via call 4/13</t>
  </si>
  <si>
    <t>CH confirmed via DMC 4/15</t>
  </si>
  <si>
    <t>IC confirmed via call 4/16</t>
  </si>
  <si>
    <t>EZ confirmed via call 4/16</t>
  </si>
  <si>
    <t>CH no answer 4/13</t>
  </si>
  <si>
    <t>CH voicemail left 4/15</t>
  </si>
  <si>
    <t>EZ confirmed via DMC 4/15</t>
  </si>
  <si>
    <t>CH confirmed via call 4/14</t>
  </si>
  <si>
    <t>CH skip this week 4/16</t>
  </si>
  <si>
    <t>AS confirmed via text 4/22</t>
  </si>
  <si>
    <t>EZ confirmed via DMC 4/21</t>
  </si>
  <si>
    <t>CH no answer, voicemail left 4/23</t>
  </si>
  <si>
    <t>IC confirmed via call 4/22</t>
  </si>
  <si>
    <t>GB confirmed via text 4/21</t>
  </si>
  <si>
    <t>AS confirmed via call 4/23</t>
  </si>
  <si>
    <t>EZ confirmed via DMC 4/20</t>
  </si>
  <si>
    <t>CH sent text 4/22</t>
  </si>
  <si>
    <t>IC confirmed via text 4/21</t>
  </si>
  <si>
    <t>GB skip this week 4/20</t>
  </si>
  <si>
    <t>AS confirmed via DMC 4/23</t>
  </si>
  <si>
    <t>EZ confirmed via text 4/21</t>
  </si>
  <si>
    <t>CH confirmed via call 4/22</t>
  </si>
  <si>
    <t>IC no answer 4/23</t>
  </si>
  <si>
    <t>GB confirmed via DMC 4/20</t>
  </si>
  <si>
    <t>AS confirmed via text 4/21</t>
  </si>
  <si>
    <t>EZ confirmed via call 4/22</t>
  </si>
  <si>
    <t>CH voicemail left 4/23</t>
  </si>
  <si>
    <t>IC confirmed via DMC 4/20</t>
  </si>
  <si>
    <t>AS confirmed via call 4/22</t>
  </si>
  <si>
    <t>EZ confirmed via text 4/23</t>
  </si>
  <si>
    <t>CH no answer 4/21</t>
  </si>
  <si>
    <t>IC confirmed via text 4/20</t>
  </si>
  <si>
    <t>GB confirmed via call 4/22</t>
  </si>
  <si>
    <t>AS skip this week 4/21</t>
  </si>
  <si>
    <t>EZ confirmed via DMC 4/23</t>
  </si>
  <si>
    <t>CH confirmed via text 4/22</t>
  </si>
  <si>
    <t>IC confirmed via call 4/20</t>
  </si>
  <si>
    <t>GB voicemail left 4/21</t>
  </si>
  <si>
    <t>AS confirmed via text 4/23</t>
  </si>
  <si>
    <t>CH confirmed via DMC 4/21</t>
  </si>
  <si>
    <t>GB confirmed via text 4/22</t>
  </si>
  <si>
    <t>AS confirmed via DMC 4/20</t>
  </si>
  <si>
    <t>CH confirmed via call 4/23</t>
  </si>
  <si>
    <t>IC confirmed via DMC 4/22</t>
  </si>
  <si>
    <t>GB skip this week 4/21</t>
  </si>
  <si>
    <t>EZ confirmed via text 4/22</t>
  </si>
  <si>
    <t>CH voicemail left 4/21</t>
  </si>
  <si>
    <t>GB confirmed via call 4/23</t>
  </si>
  <si>
    <t>CH no answer 4/23</t>
  </si>
  <si>
    <t>GB confirmed via text 4/20</t>
  </si>
  <si>
    <t>AS confirmed via DMC 4/21</t>
  </si>
  <si>
    <t>IC skip this week 4/21</t>
  </si>
  <si>
    <t>GB no answer 4/22</t>
  </si>
  <si>
    <t>AS confirmed via text 4/20</t>
  </si>
  <si>
    <t>CH confirmed via text 4/21</t>
  </si>
  <si>
    <t>GB confirmed via DMC 4/23</t>
  </si>
  <si>
    <t>AS confirmed via call 4/21</t>
  </si>
  <si>
    <t>GB confirmed via call 4/21</t>
  </si>
  <si>
    <t>AS skip this week 4/22</t>
  </si>
  <si>
    <t>IC no answer 4/22</t>
  </si>
  <si>
    <t>GB confirmed via text 4/23</t>
  </si>
  <si>
    <t>AS confirmed via call 4/20</t>
  </si>
  <si>
    <t>CH confirmed via DMC 4/22</t>
  </si>
  <si>
    <t>IC confirmed via call 4/23</t>
  </si>
  <si>
    <t>EZ confirmed via call 4/23</t>
  </si>
  <si>
    <t>CH no answer 4/20</t>
  </si>
  <si>
    <t>CH voicemail left 4/22</t>
  </si>
  <si>
    <t>EZ confirmed via DMC 4/22</t>
  </si>
  <si>
    <t>CH confirmed via call 4/21</t>
  </si>
  <si>
    <t>CH skip this week 4/23</t>
  </si>
  <si>
    <t>AS confirmed via text 4/29</t>
  </si>
  <si>
    <t>EZ confirmed via DMC 4/28</t>
  </si>
  <si>
    <t>CH no answer, voicemail left 4/30</t>
  </si>
  <si>
    <t>IC confirmed via call 4/29</t>
  </si>
  <si>
    <t>GB confirmed via text 4/28</t>
  </si>
  <si>
    <t>AS confirmed via call 4/30</t>
  </si>
  <si>
    <t>EZ confirmed via DMC 4/27</t>
  </si>
  <si>
    <t>CH sent text 4/29</t>
  </si>
  <si>
    <t>IC confirmed via text 4/28</t>
  </si>
  <si>
    <t>GB skip this week 4/27</t>
  </si>
  <si>
    <t>AS confirmed via DMC 4/30</t>
  </si>
  <si>
    <t>EZ confirmed via text 4/28</t>
  </si>
  <si>
    <t>CH confirmed via call 4/29</t>
  </si>
  <si>
    <t>IC no answer 4/30</t>
  </si>
  <si>
    <t>GB confirmed via DMC 4/27</t>
  </si>
  <si>
    <t>AS confirmed via text 4/28</t>
  </si>
  <si>
    <t>EZ confirmed via call 4/29</t>
  </si>
  <si>
    <t>CH voicemail left 4/30</t>
  </si>
  <si>
    <t>IC confirmed via DMC 4/27</t>
  </si>
  <si>
    <t>AS confirmed via call 4/29</t>
  </si>
  <si>
    <t>EZ confirmed via text 4/30</t>
  </si>
  <si>
    <t>CH no answer 4/28</t>
  </si>
  <si>
    <t>IC confirmed via text 4/27</t>
  </si>
  <si>
    <t>GB confirmed via call 4/29</t>
  </si>
  <si>
    <t>AS skip this week 4/28</t>
  </si>
  <si>
    <t>EZ confirmed via DMC 4/30</t>
  </si>
  <si>
    <t>CH confirmed via text 4/29</t>
  </si>
  <si>
    <t>IC confirmed via call 4/27</t>
  </si>
  <si>
    <t>GB voicemail left 4/28</t>
  </si>
  <si>
    <t>AS confirmed via text 4/30</t>
  </si>
  <si>
    <t>CH confirmed via DMC 4/28</t>
  </si>
  <si>
    <t>GB confirmed via text 4/29</t>
  </si>
  <si>
    <t>AS confirmed via DMC 4/27</t>
  </si>
  <si>
    <t>CH confirmed via call 4/30</t>
  </si>
  <si>
    <t>IC confirmed via DMC 4/29</t>
  </si>
  <si>
    <t>GB skip this week 4/28</t>
  </si>
  <si>
    <t>EZ confirmed via text 4/29</t>
  </si>
  <si>
    <t>CH voicemail left 4/28</t>
  </si>
  <si>
    <t>GB confirmed via call 4/30</t>
  </si>
  <si>
    <t>CH no answer 4/30</t>
  </si>
  <si>
    <t>GB confirmed via text 4/27</t>
  </si>
  <si>
    <t>AS confirmed via DMC 4/28</t>
  </si>
  <si>
    <t>IC skip this week 4/28</t>
  </si>
  <si>
    <t>GB no answer 4/29</t>
  </si>
  <si>
    <t>AS confirmed via text 4/27</t>
  </si>
  <si>
    <t>CH confirmed via text 4/28</t>
  </si>
  <si>
    <t>GB confirmed via DMC 4/30</t>
  </si>
  <si>
    <t>AS confirmed via call 4/28</t>
  </si>
  <si>
    <t>GB confirmed via call 4/28</t>
  </si>
  <si>
    <t>AS skip this week 4/29</t>
  </si>
  <si>
    <t>IC no answer 4/29</t>
  </si>
  <si>
    <t>GB confirmed via text 4/30</t>
  </si>
  <si>
    <t>AS confirmed via call 4/27</t>
  </si>
  <si>
    <t>CH confirmed via DMC 4/29</t>
  </si>
  <si>
    <t>IC confirmed via call 4/30</t>
  </si>
  <si>
    <t>EZ confirmed via call 4/30</t>
  </si>
  <si>
    <t>CH no answer 4/27</t>
  </si>
  <si>
    <t>CH voicemail left 4/29</t>
  </si>
  <si>
    <t>EZ confirmed via DMC 4/29</t>
  </si>
  <si>
    <t>CH confirmed via call 4/28</t>
  </si>
  <si>
    <t>CH skip this week 4/30</t>
  </si>
  <si>
    <t>Call Notes 5/1</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</si>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</sst>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2"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font>
    <font>
      <b/>
      <sz val="12"/>
      <color theme="1"/>
      <name val="Calibri"/>
      <family val="2"/>
    </font>
    <font>
      <b/>
      <sz val="11"/>
      <color theme="1"/>
      <name val="Calibri"/>
      <family val="2"/>
    </font>
    <font>
      <b/>
      <sz val="10"/>
      <color rgb="FF000000"/>
      <name val="Calibri"/>
      <family val="2"/>
    </font>
    <font>
      <sz val="10"/>
      <color rgb="FF000000"/>
      <name val="Calibri"/>
      <family val="2"/>
    </font>
    <font>
      <sz val="8"/>
      <color rgb="FF000000"/>
      <name val="Helvetica Neue"/>
      <family val="2"/>
    </font>
    <font>
      <sz val="10"/>
      <color theme="1"/>
      <name val="Calibri"/>
      <family val="2"/>
    </font>
    <font>
      <b/>
      <sz val="10"/>
      <color rgb="FFFFFFFF"/>
      <name val="Calibri"/>
      <family val="2"/>
    </font>
    <font>
      <sz val="10"/>
      <color rgb="FFFFFFFF"/>
      <name val="Calibri"/>
      <family val="2"/>
    </font>
    <font>
      <sz val="10"/>
      <color rgb="FF212121"/>
      <name val="Calibri"/>
      <family val="2"/>
    </font>
    <font>
      <sz val="10"/>
      <color rgb="FF444444"/>
      <name val="Calibri"/>
      <family val="2"/>
    </font>
    <font>
      <sz val="10"/>
      <color rgb="FF9C0006"/>
      <name val="Calibri"/>
      <family val="2"/>
    </font>
    <font>
      <b/>
      <sz val="10"/>
      <color theme="1"/>
      <name val="Calibri"/>
      <family val="2"/>
    </font>
    <font>
      <sz val="10"/>
      <color theme="1"/>
      <name val="Calibri"/>
      <family val="2"/>
      <scheme val="minor"/>
    </font>
    <font>
      <sz val="10"/>
      <color rgb="FF000000"/>
      <name val="Calibri"/>
      <family val="2"/>
      <scheme val="major"/>
    </font>
    <font>
      <sz val="11"/>
      <color rgb="FF444444"/>
      <name val="Calibri"/>
      <family val="2"/>
      <charset val="1"/>
    </font>
    <font>
      <sz val="10"/>
      <color rgb="FF000000"/>
      <name val="Calibri"/>
      <family val="2"/>
      <scheme val="minor"/>
    </font>
    <font>
      <b/>
      <sz val="10"/>
      <color rgb="FF000000"/>
      <name val="Calibri"/>
      <family val="2"/>
      <scheme val="minor"/>
    </font>
    <font>
      <b/>
      <sz val="10"/>
      <color theme="1"/>
      <name val="Calibri"/>
      <family val="2"/>
      <scheme val="minor"/>
    </font>
    <font>
      <u/>
      <sz val="12"/>
      <color theme="10"/>
      <name val="Calibri"/>
      <family val="2"/>
      <scheme val="minor"/>
    </font>
    <font>
      <sz val="12"/>
      <color rgb="FF000000"/>
      <name val="Calibri"/>
      <family val="2"/>
      <scheme val="minor"/>
    </font>
    <font>
      <b/>
      <sz val="12"/>
      <color theme="1"/>
      <name val="Calibri"/>
      <family val="2"/>
      <scheme val="minor"/>
    </font>
    <font>
      <sz val="6"/>
      <name val="Yu Gothic"/>
      <family val="2"/>
      <charset val="128"/>
    </font>
    <font>
      <sz val="10"/>
      <color rgb="FFFF0000"/>
      <name val="Calibri"/>
      <family val="2"/>
      <scheme val="minor"/>
    </font>
    <font>
      <strike/>
      <sz val="10"/>
      <color theme="1"/>
      <name val="Calibri"/>
      <family val="2"/>
      <scheme val="minor"/>
    </font>
    <font>
      <sz val="12"/>
      <color rgb="FF000000"/>
      <name val="Calibri"/>
      <family val="2"/>
      <scheme val="minor"/>
    </font>
    <font>
      <b/>
      <sz val="12"/>
      <color theme="1"/>
      <name val="Calibri"/>
      <family val="2"/>
      <scheme val="minor"/>
    </font>
    <font>
      <sz val="11"/>
      <color theme="1"/>
      <name val="Calibri"/>
      <family val="2"/>
      <scheme val="major"/>
    </font>
    <font>
      <b/>
      <sz val="11"/>
      <color rgb="FF444444"/>
      <name val="Calibri"/>
      <family val="2"/>
      <charset val="1"/>
    </font>
    <font>
      <sz val="11"/>
      <color rgb="FF444444"/>
      <name val="Calibri"/>
      <family val="2"/>
    </font>
    <font>
      <sz val="11"/>
      <color rgb="FF242424"/>
      <name val="Calibri"/>
      <family val="2"/>
      <charset val="1"/>
    </font>
    <font>
      <sz val="11"/>
      <color rgb="FFFF0000"/>
      <name val="Calibri"/>
      <family val="2"/>
    </font>
    <font>
      <sz val="10"/>
      <color theme="1"/>
      <name val="Calibri"/>
      <family val="2"/>
      <scheme val="minor"/>
    </font>
    <font>
      <sz val="10"/>
      <color rgb="FF000000"/>
      <name val="Calibri"/>
      <family val="2"/>
      <scheme val="minor"/>
    </font>
    <font>
      <sz val="10"/>
      <color rgb="FF000000"/>
      <name val="Calibri"/>
      <family val="2"/>
    </font>
    <font>
      <b/>
      <sz val="10"/>
      <color theme="1"/>
      <name val="Calibri"/>
      <family val="2"/>
      <scheme val="minor"/>
    </font>
    <font>
      <sz val="11"/>
      <color rgb="FF242424"/>
      <name val="Aptos Narrow"/>
    </font>
    <font>
      <sz val="10"/>
      <color rgb="FF242424"/>
      <name val="Aptos Narrow"/>
    </font>
    <font>
      <sz val="10"/>
      <color rgb="FF000000"/>
      <name val="Helvetica Neue"/>
      <family val="2"/>
    </font>
  </fonts>
  <fills count="33">
    <fill>
      <patternFill patternType="none"/>
    </fill>
    <fill>
      <patternFill patternType="gray125"/>
    </fill>
    <fill>
      <patternFill patternType="solid">
        <fgColor rgb="FF00B050"/>
        <bgColor rgb="FF00B050"/>
      </patternFill>
    </fill>
    <fill>
      <patternFill patternType="solid">
        <fgColor rgb="FF92D050"/>
        <bgColor rgb="FF92D050"/>
      </patternFill>
    </fill>
    <fill>
      <patternFill patternType="solid">
        <fgColor rgb="FFFFFF00"/>
        <bgColor rgb="FFFFFF00"/>
      </patternFill>
    </fill>
    <fill>
      <patternFill patternType="solid">
        <fgColor rgb="FFFF0000"/>
        <bgColor rgb="FFFF0000"/>
      </patternFill>
    </fill>
    <fill>
      <patternFill patternType="solid">
        <fgColor rgb="FF7030A0"/>
        <bgColor rgb="FF7030A0"/>
      </patternFill>
    </fill>
    <fill>
      <patternFill patternType="solid">
        <fgColor rgb="FFBF8F00"/>
        <bgColor rgb="FFBF8F00"/>
      </patternFill>
    </fill>
    <fill>
      <patternFill patternType="solid">
        <fgColor rgb="FF00B0F0"/>
        <bgColor rgb="FF00B0F0"/>
      </patternFill>
    </fill>
    <fill>
      <patternFill patternType="solid">
        <fgColor rgb="FFF8CBAD"/>
        <bgColor rgb="FFF8CBAD"/>
      </patternFill>
    </fill>
    <fill>
      <patternFill patternType="solid">
        <fgColor rgb="FF808080"/>
        <bgColor rgb="FF808080"/>
      </patternFill>
    </fill>
    <fill>
      <patternFill patternType="solid">
        <fgColor rgb="FF000000"/>
        <bgColor rgb="FF000000"/>
      </patternFill>
    </fill>
    <fill>
      <patternFill patternType="solid">
        <fgColor rgb="FFA8D08D"/>
        <bgColor rgb="FFA8D08D"/>
      </patternFill>
    </fill>
    <fill>
      <patternFill patternType="solid">
        <fgColor theme="1"/>
        <bgColor theme="1"/>
      </patternFill>
    </fill>
    <fill>
      <patternFill patternType="solid">
        <fgColor rgb="FFFFFFFF"/>
        <bgColor rgb="FFFFFFFF"/>
      </patternFill>
    </fill>
    <fill>
      <patternFill patternType="solid">
        <fgColor rgb="FFA5A5A5"/>
        <bgColor rgb="FFA5A5A5"/>
      </patternFill>
    </fill>
    <fill>
      <patternFill patternType="solid">
        <fgColor rgb="FFC9C9C9"/>
        <bgColor rgb="FFC9C9C9"/>
      </patternFill>
    </fill>
    <fill>
      <patternFill patternType="solid">
        <fgColor theme="7" tint="-0.249977111117893"/>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D8D8D8"/>
        <bgColor rgb="FFD8D8D8"/>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bgColor indexed="64"/>
      </patternFill>
    </fill>
    <fill>
      <patternFill patternType="solid">
        <fgColor rgb="FFD9E2F3"/>
        <bgColor rgb="FFD9E2F3"/>
      </patternFill>
    </fill>
    <fill>
      <patternFill patternType="solid">
        <fgColor theme="9" tint="0.79998168889431442"/>
        <bgColor indexed="64"/>
      </patternFill>
    </fill>
    <fill>
      <patternFill patternType="solid">
        <fgColor theme="0" tint="-0.499984740745262"/>
        <bgColor indexed="64"/>
      </patternFill>
    </fill>
    <fill>
      <patternFill patternType="solid">
        <fgColor rgb="FF00B0F0"/>
        <bgColor indexed="64"/>
      </patternFill>
    </fill>
    <fill>
      <patternFill patternType="solid">
        <fgColor rgb="FF92D050"/>
        <bgColor indexed="64"/>
      </patternFill>
    </fill>
    <fill>
      <patternFill patternType="solid">
        <fgColor rgb="FFFFFFFF"/>
        <bgColor rgb="FF00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s>
  <cellStyleXfs count="2">
    <xf numFmtId="0" fontId="0" fillId="0" borderId="0"/>
    <xf numFmtId="0" fontId="22" fillId="0" borderId="0" applyNumberFormat="0" applyFill="0" applyBorder="0" applyAlignment="0" applyProtection="0"/>
  </cellStyleXfs>
  <cellXfs count="216">
    <xf numFmtId="0" fontId="0" fillId="0" borderId="0" xfId="0"/>
    <xf numFmtId="0" fontId="5" fillId="12" borderId="1" xfId="0" applyFont="1" applyFill="1" applyBorder="1" applyAlignment="1">
      <alignment horizontal="center"/>
    </xf>
    <xf numFmtId="0" fontId="5" fillId="12" borderId="1" xfId="0" applyFont="1" applyFill="1" applyBorder="1" applyAlignment="1">
      <alignment horizontal="center" wrapText="1"/>
    </xf>
    <xf numFmtId="0" fontId="5" fillId="13" borderId="1" xfId="0" applyFont="1" applyFill="1" applyBorder="1" applyAlignment="1">
      <alignment horizontal="center"/>
    </xf>
    <xf numFmtId="14" fontId="4" fillId="12" borderId="1" xfId="0" applyNumberFormat="1" applyFont="1" applyFill="1" applyBorder="1"/>
    <xf numFmtId="0" fontId="4" fillId="12" borderId="1" xfId="0" applyFont="1" applyFill="1" applyBorder="1"/>
    <xf numFmtId="0" fontId="3" fillId="0" borderId="1" xfId="0" applyFont="1" applyBorder="1"/>
    <xf numFmtId="0" fontId="3" fillId="0" borderId="1" xfId="0" applyFont="1" applyBorder="1" applyAlignment="1">
      <alignment horizontal="center"/>
    </xf>
    <xf numFmtId="0" fontId="3" fillId="13" borderId="1" xfId="0" applyFont="1" applyFill="1" applyBorder="1"/>
    <xf numFmtId="0" fontId="3" fillId="0" borderId="1" xfId="0" applyFont="1" applyBorder="1" applyAlignment="1">
      <alignment horizontal="center" vertical="center"/>
    </xf>
    <xf numFmtId="14" fontId="3" fillId="0" borderId="1" xfId="0" applyNumberFormat="1" applyFont="1" applyBorder="1"/>
    <xf numFmtId="0" fontId="3" fillId="13" borderId="2" xfId="0" applyFont="1" applyFill="1" applyBorder="1"/>
    <xf numFmtId="0" fontId="8" fillId="0" borderId="1" xfId="0" applyFont="1" applyBorder="1" applyAlignment="1">
      <alignment wrapText="1"/>
    </xf>
    <xf numFmtId="0" fontId="7" fillId="0" borderId="1" xfId="0" applyFont="1" applyBorder="1"/>
    <xf numFmtId="0" fontId="7" fillId="0" borderId="8" xfId="0" applyFont="1" applyBorder="1"/>
    <xf numFmtId="0" fontId="7" fillId="0" borderId="9" xfId="0" applyFont="1" applyBorder="1"/>
    <xf numFmtId="0" fontId="10" fillId="2" borderId="4" xfId="0" applyFont="1" applyFill="1" applyBorder="1"/>
    <xf numFmtId="0" fontId="11" fillId="6" borderId="1" xfId="0" applyFont="1" applyFill="1" applyBorder="1"/>
    <xf numFmtId="0" fontId="10" fillId="0" borderId="1" xfId="0" applyFont="1" applyBorder="1"/>
    <xf numFmtId="0" fontId="7" fillId="2" borderId="1" xfId="0" applyFont="1" applyFill="1" applyBorder="1"/>
    <xf numFmtId="0" fontId="9" fillId="0" borderId="1" xfId="0" applyFont="1" applyBorder="1"/>
    <xf numFmtId="0" fontId="7" fillId="9" borderId="1" xfId="0" applyFont="1" applyFill="1" applyBorder="1"/>
    <xf numFmtId="0" fontId="12" fillId="0" borderId="1" xfId="0" applyFont="1" applyBorder="1"/>
    <xf numFmtId="0" fontId="7" fillId="0" borderId="1" xfId="0" applyFont="1" applyBorder="1" applyAlignment="1">
      <alignment wrapText="1"/>
    </xf>
    <xf numFmtId="11" fontId="7" fillId="0" borderId="1" xfId="0" applyNumberFormat="1" applyFont="1" applyBorder="1"/>
    <xf numFmtId="16" fontId="7" fillId="0" borderId="1" xfId="0" applyNumberFormat="1" applyFont="1" applyBorder="1"/>
    <xf numFmtId="0" fontId="7" fillId="7" borderId="1" xfId="0" applyFont="1" applyFill="1" applyBorder="1"/>
    <xf numFmtId="15" fontId="7" fillId="0" borderId="1" xfId="0" applyNumberFormat="1" applyFont="1" applyBorder="1"/>
    <xf numFmtId="0" fontId="7" fillId="5" borderId="1" xfId="0" applyFont="1" applyFill="1" applyBorder="1"/>
    <xf numFmtId="0" fontId="7" fillId="14" borderId="1" xfId="0" applyFont="1" applyFill="1" applyBorder="1"/>
    <xf numFmtId="0" fontId="13" fillId="0" borderId="1" xfId="0" applyFont="1" applyBorder="1"/>
    <xf numFmtId="0" fontId="7" fillId="0" borderId="1" xfId="0" applyFont="1" applyBorder="1" applyAlignment="1">
      <alignment horizontal="left" readingOrder="1"/>
    </xf>
    <xf numFmtId="0" fontId="6" fillId="0" borderId="1" xfId="0" applyFont="1" applyBorder="1"/>
    <xf numFmtId="0" fontId="7" fillId="16" borderId="1" xfId="0" applyFont="1" applyFill="1" applyBorder="1"/>
    <xf numFmtId="0" fontId="14" fillId="0" borderId="1" xfId="0" applyFont="1" applyBorder="1"/>
    <xf numFmtId="0" fontId="7" fillId="16" borderId="1" xfId="0" applyFont="1" applyFill="1" applyBorder="1" applyAlignment="1">
      <alignment horizontal="left"/>
    </xf>
    <xf numFmtId="0" fontId="7" fillId="15" borderId="1" xfId="0" applyFont="1" applyFill="1" applyBorder="1"/>
    <xf numFmtId="0" fontId="9" fillId="0" borderId="0" xfId="0" applyFont="1"/>
    <xf numFmtId="0" fontId="9" fillId="0" borderId="6" xfId="0" applyFont="1" applyBorder="1"/>
    <xf numFmtId="0" fontId="3" fillId="13" borderId="8" xfId="0" applyFont="1" applyFill="1" applyBorder="1"/>
    <xf numFmtId="0" fontId="7" fillId="0" borderId="7" xfId="0" applyFont="1" applyBorder="1"/>
    <xf numFmtId="0" fontId="10" fillId="2" borderId="9" xfId="0" applyFont="1" applyFill="1" applyBorder="1"/>
    <xf numFmtId="0" fontId="7" fillId="0" borderId="2" xfId="0" applyFont="1" applyBorder="1"/>
    <xf numFmtId="0" fontId="0" fillId="0" borderId="1" xfId="0" applyBorder="1"/>
    <xf numFmtId="0" fontId="0" fillId="0" borderId="2" xfId="0" applyBorder="1"/>
    <xf numFmtId="0" fontId="0" fillId="0" borderId="7" xfId="0" applyBorder="1"/>
    <xf numFmtId="0" fontId="0" fillId="0" borderId="8" xfId="0" applyBorder="1"/>
    <xf numFmtId="0" fontId="17" fillId="0" borderId="1" xfId="0" applyFont="1" applyBorder="1" applyAlignment="1">
      <alignment wrapText="1"/>
    </xf>
    <xf numFmtId="0" fontId="16" fillId="0" borderId="1" xfId="0" applyFont="1" applyBorder="1"/>
    <xf numFmtId="0" fontId="0" fillId="0" borderId="13" xfId="0" applyBorder="1"/>
    <xf numFmtId="0" fontId="16" fillId="0" borderId="13" xfId="0" applyFont="1" applyBorder="1"/>
    <xf numFmtId="0" fontId="0" fillId="0" borderId="12" xfId="0" applyBorder="1"/>
    <xf numFmtId="0" fontId="16" fillId="0" borderId="8" xfId="0" applyFont="1" applyBorder="1"/>
    <xf numFmtId="0" fontId="19" fillId="0" borderId="1" xfId="0" applyFont="1" applyBorder="1"/>
    <xf numFmtId="0" fontId="19" fillId="0" borderId="2" xfId="0" applyFont="1" applyBorder="1"/>
    <xf numFmtId="0" fontId="16" fillId="0" borderId="7" xfId="0" applyFont="1" applyBorder="1"/>
    <xf numFmtId="0" fontId="16" fillId="0" borderId="2" xfId="0" applyFont="1" applyBorder="1"/>
    <xf numFmtId="0" fontId="6" fillId="21" borderId="3" xfId="0" applyFont="1" applyFill="1" applyBorder="1"/>
    <xf numFmtId="0" fontId="6" fillId="21" borderId="4" xfId="0" applyFont="1" applyFill="1" applyBorder="1"/>
    <xf numFmtId="0" fontId="6" fillId="21" borderId="5" xfId="0" applyFont="1" applyFill="1" applyBorder="1"/>
    <xf numFmtId="0" fontId="6" fillId="21" borderId="9" xfId="0" applyFont="1" applyFill="1" applyBorder="1"/>
    <xf numFmtId="0" fontId="6" fillId="21" borderId="10" xfId="0" applyFont="1" applyFill="1" applyBorder="1"/>
    <xf numFmtId="0" fontId="6" fillId="21" borderId="11" xfId="0" applyFont="1" applyFill="1" applyBorder="1"/>
    <xf numFmtId="0" fontId="20" fillId="21" borderId="1" xfId="0" applyFont="1" applyFill="1" applyBorder="1"/>
    <xf numFmtId="0" fontId="20" fillId="21" borderId="3" xfId="0" applyFont="1" applyFill="1" applyBorder="1"/>
    <xf numFmtId="0" fontId="6" fillId="21" borderId="2" xfId="0" applyFont="1" applyFill="1" applyBorder="1"/>
    <xf numFmtId="0" fontId="0" fillId="21" borderId="2" xfId="0" applyFill="1" applyBorder="1"/>
    <xf numFmtId="0" fontId="0" fillId="21" borderId="0" xfId="0" applyFill="1"/>
    <xf numFmtId="0" fontId="7" fillId="19" borderId="1" xfId="0" applyFont="1" applyFill="1" applyBorder="1"/>
    <xf numFmtId="0" fontId="22" fillId="0" borderId="0" xfId="1"/>
    <xf numFmtId="0" fontId="19" fillId="0" borderId="9" xfId="0" applyFont="1" applyBorder="1"/>
    <xf numFmtId="0" fontId="16" fillId="23" borderId="8" xfId="0" applyFont="1" applyFill="1" applyBorder="1"/>
    <xf numFmtId="0" fontId="17" fillId="24" borderId="1" xfId="0" applyFont="1" applyFill="1" applyBorder="1" applyAlignment="1">
      <alignment wrapText="1"/>
    </xf>
    <xf numFmtId="0" fontId="8" fillId="0" borderId="2" xfId="0" applyFont="1" applyBorder="1" applyAlignment="1">
      <alignment wrapText="1"/>
    </xf>
    <xf numFmtId="0" fontId="6" fillId="20" borderId="10" xfId="0" applyFont="1" applyFill="1" applyBorder="1"/>
    <xf numFmtId="0" fontId="6" fillId="20" borderId="4" xfId="0" applyFont="1" applyFill="1" applyBorder="1"/>
    <xf numFmtId="0" fontId="24" fillId="0" borderId="0" xfId="0" applyFont="1"/>
    <xf numFmtId="9" fontId="0" fillId="0" borderId="0" xfId="0" applyNumberFormat="1"/>
    <xf numFmtId="0" fontId="24" fillId="0" borderId="2" xfId="0" applyFont="1" applyBorder="1"/>
    <xf numFmtId="9" fontId="0" fillId="0" borderId="2" xfId="0" applyNumberFormat="1" applyBorder="1"/>
    <xf numFmtId="0" fontId="16" fillId="23" borderId="1" xfId="0" applyFont="1" applyFill="1" applyBorder="1"/>
    <xf numFmtId="0" fontId="26" fillId="0" borderId="1" xfId="0" applyFont="1" applyBorder="1"/>
    <xf numFmtId="0" fontId="6" fillId="20" borderId="9" xfId="0" applyFont="1" applyFill="1" applyBorder="1"/>
    <xf numFmtId="0" fontId="20" fillId="21" borderId="9" xfId="0" applyFont="1" applyFill="1" applyBorder="1"/>
    <xf numFmtId="0" fontId="6" fillId="21" borderId="12" xfId="0" applyFont="1" applyFill="1" applyBorder="1"/>
    <xf numFmtId="0" fontId="11" fillId="10" borderId="1" xfId="0" applyFont="1" applyFill="1" applyBorder="1"/>
    <xf numFmtId="0" fontId="18" fillId="0" borderId="0" xfId="0" applyFont="1"/>
    <xf numFmtId="0" fontId="16" fillId="0" borderId="9" xfId="0" applyFont="1" applyBorder="1"/>
    <xf numFmtId="0" fontId="21" fillId="21" borderId="2" xfId="0" applyFont="1" applyFill="1" applyBorder="1"/>
    <xf numFmtId="0" fontId="19" fillId="0" borderId="1" xfId="0" applyFont="1" applyBorder="1" applyAlignment="1">
      <alignment wrapText="1"/>
    </xf>
    <xf numFmtId="0" fontId="19" fillId="0" borderId="1" xfId="0" applyFont="1" applyBorder="1" applyAlignment="1">
      <alignment horizontal="left"/>
    </xf>
    <xf numFmtId="0" fontId="16" fillId="0" borderId="1" xfId="0" applyFont="1" applyBorder="1" applyAlignment="1">
      <alignment horizontal="left"/>
    </xf>
    <xf numFmtId="0" fontId="16" fillId="0" borderId="1" xfId="0" applyFont="1" applyBorder="1" applyAlignment="1">
      <alignment wrapText="1"/>
    </xf>
    <xf numFmtId="0" fontId="16" fillId="20" borderId="1" xfId="0" applyFont="1" applyFill="1" applyBorder="1"/>
    <xf numFmtId="0" fontId="20" fillId="0" borderId="1" xfId="0" applyFont="1" applyBorder="1"/>
    <xf numFmtId="0" fontId="16" fillId="25" borderId="1" xfId="0" applyFont="1" applyFill="1" applyBorder="1"/>
    <xf numFmtId="0" fontId="16" fillId="19" borderId="1" xfId="0" applyFont="1" applyFill="1" applyBorder="1"/>
    <xf numFmtId="0" fontId="19" fillId="25" borderId="1" xfId="0" applyFont="1" applyFill="1" applyBorder="1"/>
    <xf numFmtId="0" fontId="16" fillId="21" borderId="1" xfId="0" applyFont="1" applyFill="1" applyBorder="1"/>
    <xf numFmtId="0" fontId="16" fillId="18" borderId="1" xfId="0" applyFont="1" applyFill="1" applyBorder="1"/>
    <xf numFmtId="0" fontId="20" fillId="18" borderId="1" xfId="0" applyFont="1" applyFill="1" applyBorder="1"/>
    <xf numFmtId="0" fontId="6" fillId="21" borderId="3" xfId="0" applyFont="1" applyFill="1" applyBorder="1" applyAlignment="1">
      <alignment horizontal="left"/>
    </xf>
    <xf numFmtId="0" fontId="0" fillId="0" borderId="2" xfId="0" applyBorder="1" applyAlignment="1">
      <alignment horizontal="left"/>
    </xf>
    <xf numFmtId="0" fontId="16" fillId="27" borderId="1" xfId="0" applyFont="1" applyFill="1" applyBorder="1"/>
    <xf numFmtId="0" fontId="28" fillId="0" borderId="0" xfId="0" applyFont="1"/>
    <xf numFmtId="0" fontId="0" fillId="28" borderId="0" xfId="0" applyFill="1" applyAlignment="1">
      <alignment vertical="center"/>
    </xf>
    <xf numFmtId="0" fontId="4" fillId="4" borderId="2" xfId="0" applyFont="1" applyFill="1" applyBorder="1" applyAlignment="1">
      <alignment vertical="center"/>
    </xf>
    <xf numFmtId="0" fontId="3" fillId="4" borderId="2" xfId="0" applyFont="1" applyFill="1" applyBorder="1" applyAlignment="1">
      <alignment vertical="center"/>
    </xf>
    <xf numFmtId="0" fontId="0" fillId="0" borderId="0" xfId="0" applyAlignment="1">
      <alignment vertical="center"/>
    </xf>
    <xf numFmtId="0" fontId="18" fillId="0" borderId="0" xfId="0" quotePrefix="1" applyFont="1"/>
    <xf numFmtId="0" fontId="18" fillId="0" borderId="0" xfId="0" quotePrefix="1" applyFont="1" applyAlignment="1">
      <alignment horizontal="left" vertical="top"/>
    </xf>
    <xf numFmtId="0" fontId="0" fillId="0" borderId="0" xfId="0" applyAlignment="1">
      <alignment horizontal="left"/>
    </xf>
    <xf numFmtId="0" fontId="30" fillId="0" borderId="0" xfId="0" applyFont="1" applyAlignment="1">
      <alignment horizontal="left"/>
    </xf>
    <xf numFmtId="0" fontId="31" fillId="0" borderId="0" xfId="0" quotePrefix="1" applyFont="1" applyAlignment="1">
      <alignment horizontal="left" vertical="top"/>
    </xf>
    <xf numFmtId="0" fontId="29" fillId="28" borderId="0" xfId="0" applyFont="1" applyFill="1"/>
    <xf numFmtId="0" fontId="21" fillId="21" borderId="0" xfId="0" applyFont="1" applyFill="1"/>
    <xf numFmtId="0" fontId="16" fillId="0" borderId="2" xfId="0" applyFont="1" applyBorder="1" applyAlignment="1">
      <alignment wrapText="1"/>
    </xf>
    <xf numFmtId="0" fontId="33" fillId="0" borderId="0" xfId="0" quotePrefix="1" applyFont="1"/>
    <xf numFmtId="0" fontId="2" fillId="0" borderId="2" xfId="0" applyFont="1" applyBorder="1"/>
    <xf numFmtId="0" fontId="7" fillId="3" borderId="1" xfId="0" applyFont="1" applyFill="1" applyBorder="1"/>
    <xf numFmtId="0" fontId="9" fillId="4" borderId="1" xfId="0" applyFont="1" applyFill="1" applyBorder="1"/>
    <xf numFmtId="0" fontId="9" fillId="5" borderId="1" xfId="0" applyFont="1" applyFill="1" applyBorder="1"/>
    <xf numFmtId="0" fontId="9" fillId="7" borderId="1" xfId="0" applyFont="1" applyFill="1" applyBorder="1"/>
    <xf numFmtId="0" fontId="9" fillId="8" borderId="1" xfId="0" applyFont="1" applyFill="1" applyBorder="1"/>
    <xf numFmtId="0" fontId="9" fillId="9" borderId="1" xfId="0" applyFont="1" applyFill="1" applyBorder="1"/>
    <xf numFmtId="0" fontId="11" fillId="11" borderId="1" xfId="0" applyFont="1" applyFill="1" applyBorder="1"/>
    <xf numFmtId="0" fontId="6" fillId="0" borderId="9" xfId="0" applyFont="1" applyBorder="1"/>
    <xf numFmtId="0" fontId="24" fillId="28" borderId="2" xfId="0" applyFont="1" applyFill="1" applyBorder="1" applyAlignment="1">
      <alignment vertical="center"/>
    </xf>
    <xf numFmtId="0" fontId="24" fillId="28" borderId="0" xfId="0" applyFont="1" applyFill="1" applyAlignment="1">
      <alignment vertical="center"/>
    </xf>
    <xf numFmtId="0" fontId="20" fillId="21" borderId="0" xfId="0" applyFont="1" applyFill="1"/>
    <xf numFmtId="0" fontId="20" fillId="21" borderId="2" xfId="0" applyFont="1" applyFill="1" applyBorder="1"/>
    <xf numFmtId="0" fontId="23" fillId="0" borderId="0" xfId="0" applyFont="1"/>
    <xf numFmtId="0" fontId="16" fillId="29" borderId="1" xfId="0" applyFont="1" applyFill="1" applyBorder="1"/>
    <xf numFmtId="0" fontId="36" fillId="0" borderId="1" xfId="0" applyFont="1" applyBorder="1"/>
    <xf numFmtId="0" fontId="35" fillId="0" borderId="1" xfId="0" applyFont="1" applyBorder="1"/>
    <xf numFmtId="0" fontId="37" fillId="0" borderId="1" xfId="0" applyFont="1" applyBorder="1"/>
    <xf numFmtId="0" fontId="35" fillId="0" borderId="8" xfId="0" applyFont="1" applyBorder="1"/>
    <xf numFmtId="0" fontId="35" fillId="0" borderId="9" xfId="0" applyFont="1" applyBorder="1"/>
    <xf numFmtId="0" fontId="35" fillId="26" borderId="1" xfId="0" applyFont="1" applyFill="1" applyBorder="1"/>
    <xf numFmtId="0" fontId="36" fillId="26" borderId="1" xfId="0" applyFont="1" applyFill="1" applyBorder="1"/>
    <xf numFmtId="0" fontId="19" fillId="26" borderId="1" xfId="0" applyFont="1" applyFill="1" applyBorder="1"/>
    <xf numFmtId="0" fontId="16" fillId="26" borderId="1" xfId="0" applyFont="1" applyFill="1" applyBorder="1"/>
    <xf numFmtId="0" fontId="35" fillId="0" borderId="2" xfId="0" applyFont="1" applyBorder="1"/>
    <xf numFmtId="0" fontId="16" fillId="22" borderId="1" xfId="0" applyFont="1" applyFill="1" applyBorder="1"/>
    <xf numFmtId="0" fontId="35" fillId="26" borderId="8" xfId="0" applyFont="1" applyFill="1" applyBorder="1"/>
    <xf numFmtId="0" fontId="39" fillId="0" borderId="1" xfId="0" applyFont="1" applyBorder="1"/>
    <xf numFmtId="0" fontId="35" fillId="0" borderId="13" xfId="0" applyFont="1" applyBorder="1"/>
    <xf numFmtId="0" fontId="16" fillId="26" borderId="7" xfId="0" applyFont="1" applyFill="1" applyBorder="1"/>
    <xf numFmtId="0" fontId="35" fillId="17" borderId="1" xfId="0" applyFont="1" applyFill="1" applyBorder="1"/>
    <xf numFmtId="0" fontId="11" fillId="24" borderId="1" xfId="0" applyFont="1" applyFill="1" applyBorder="1"/>
    <xf numFmtId="0" fontId="35" fillId="26" borderId="13" xfId="0" applyFont="1" applyFill="1" applyBorder="1"/>
    <xf numFmtId="0" fontId="35" fillId="0" borderId="7" xfId="0" applyFont="1" applyBorder="1"/>
    <xf numFmtId="0" fontId="35" fillId="26" borderId="7" xfId="0" applyFont="1" applyFill="1" applyBorder="1"/>
    <xf numFmtId="0" fontId="27" fillId="0" borderId="1" xfId="0" applyFont="1" applyBorder="1"/>
    <xf numFmtId="0" fontId="21" fillId="31" borderId="1" xfId="0" applyFont="1" applyFill="1" applyBorder="1"/>
    <xf numFmtId="0" fontId="38" fillId="26" borderId="1" xfId="0" applyFont="1" applyFill="1" applyBorder="1"/>
    <xf numFmtId="0" fontId="35" fillId="26" borderId="9" xfId="0" applyFont="1" applyFill="1" applyBorder="1"/>
    <xf numFmtId="0" fontId="16" fillId="26" borderId="9" xfId="0" applyFont="1" applyFill="1" applyBorder="1"/>
    <xf numFmtId="0" fontId="19" fillId="30" borderId="1" xfId="0" applyFont="1" applyFill="1" applyBorder="1"/>
    <xf numFmtId="0" fontId="16" fillId="24" borderId="2" xfId="0" applyFont="1" applyFill="1" applyBorder="1"/>
    <xf numFmtId="0" fontId="37" fillId="0" borderId="8" xfId="0" applyFont="1" applyBorder="1"/>
    <xf numFmtId="0" fontId="19" fillId="0" borderId="1" xfId="0" applyFont="1" applyBorder="1">
      <extLst>
        <ext xmlns:xfpb="http://schemas.microsoft.com/office/spreadsheetml/2022/featurepropertybag" uri="{C7286773-470A-42A8-94C5-96B5CB345126}">
          <xfpb:xfComplement i="0"/>
        </ext>
      </extLst>
    </xf>
    <xf numFmtId="0" fontId="16" fillId="0" borderId="1" xfId="0" applyFont="1" applyBorder="1">
      <extLst>
        <ext xmlns:xfpb="http://schemas.microsoft.com/office/spreadsheetml/2022/featurepropertybag" uri="{C7286773-470A-42A8-94C5-96B5CB345126}">
          <xfpb:xfComplement i="0"/>
        </ext>
      </extLst>
    </xf>
    <xf numFmtId="0" fontId="19" fillId="0" borderId="1" xfId="0" applyFont="1" applyBorder="1" applyAlignment="1">
      <alignment wrapText="1"/>
      <extLst>
        <ext xmlns:xfpb="http://schemas.microsoft.com/office/spreadsheetml/2022/featurepropertybag" uri="{C7286773-470A-42A8-94C5-96B5CB345126}">
          <xfpb:xfComplement i="0"/>
        </ext>
      </extLst>
    </xf>
    <xf numFmtId="0" fontId="19" fillId="0" borderId="9" xfId="0" applyFont="1" applyBorder="1">
      <extLst>
        <ext xmlns:xfpb="http://schemas.microsoft.com/office/spreadsheetml/2022/featurepropertybag" uri="{C7286773-470A-42A8-94C5-96B5CB345126}">
          <xfpb:xfComplement i="0"/>
        </ext>
      </extLst>
    </xf>
    <xf numFmtId="0" fontId="37" fillId="0" borderId="7" xfId="0" applyFont="1" applyBorder="1"/>
    <xf numFmtId="0" fontId="23" fillId="0" borderId="2" xfId="0" applyFont="1" applyBorder="1"/>
    <xf numFmtId="0" fontId="37" fillId="0" borderId="13" xfId="0" applyFont="1" applyBorder="1"/>
    <xf numFmtId="0" fontId="0" fillId="0" borderId="4" xfId="0" applyBorder="1"/>
    <xf numFmtId="0" fontId="20" fillId="21" borderId="12" xfId="0" applyFont="1" applyFill="1" applyBorder="1"/>
    <xf numFmtId="0" fontId="35" fillId="0" borderId="4" xfId="0" applyFont="1" applyBorder="1"/>
    <xf numFmtId="0" fontId="19" fillId="26" borderId="1" xfId="0" applyFont="1" applyFill="1" applyBorder="1">
      <extLst>
        <ext xmlns:xfpb="http://schemas.microsoft.com/office/spreadsheetml/2022/featurepropertybag" uri="{C7286773-470A-42A8-94C5-96B5CB345126}">
          <xfpb:xfComplement i="0"/>
        </ext>
      </extLst>
    </xf>
    <xf numFmtId="0" fontId="40" fillId="0" borderId="1" xfId="0" applyFont="1" applyBorder="1"/>
    <xf numFmtId="0" fontId="35" fillId="20" borderId="1" xfId="0" applyFont="1" applyFill="1" applyBorder="1" applyAlignment="1">
      <alignment horizontal="left" vertical="top"/>
    </xf>
    <xf numFmtId="0" fontId="40" fillId="0" borderId="8" xfId="0" applyFont="1" applyBorder="1"/>
    <xf numFmtId="0" fontId="35" fillId="0" borderId="14" xfId="0" applyFont="1" applyBorder="1"/>
    <xf numFmtId="0" fontId="35" fillId="17" borderId="9" xfId="0" applyFont="1" applyFill="1" applyBorder="1"/>
    <xf numFmtId="0" fontId="40" fillId="0" borderId="2" xfId="0" applyFont="1" applyBorder="1"/>
    <xf numFmtId="0" fontId="16" fillId="0" borderId="1" xfId="0" applyFont="1" applyBorder="1" applyAlignment="1">
      <alignment horizontal="left" wrapText="1"/>
    </xf>
    <xf numFmtId="0" fontId="40" fillId="26" borderId="1" xfId="0" applyFont="1" applyFill="1" applyBorder="1"/>
    <xf numFmtId="0" fontId="16" fillId="30" borderId="1" xfId="0" applyFont="1" applyFill="1" applyBorder="1" applyAlignment="1">
      <alignment horizontal="left"/>
    </xf>
    <xf numFmtId="0" fontId="35" fillId="0" borderId="5" xfId="0" applyFont="1" applyBorder="1"/>
    <xf numFmtId="0" fontId="16" fillId="30" borderId="1" xfId="0" applyFont="1" applyFill="1" applyBorder="1"/>
    <xf numFmtId="0" fontId="39" fillId="0" borderId="10" xfId="0" applyFont="1" applyBorder="1"/>
    <xf numFmtId="0" fontId="9" fillId="31" borderId="1" xfId="0" applyFont="1" applyFill="1" applyBorder="1"/>
    <xf numFmtId="0" fontId="19" fillId="24" borderId="1" xfId="0" applyFont="1" applyFill="1" applyBorder="1" applyAlignment="1">
      <alignment horizontal="left"/>
    </xf>
    <xf numFmtId="0" fontId="32" fillId="0" borderId="0" xfId="0" quotePrefix="1" applyFont="1" applyAlignment="1">
      <alignment horizontal="left" vertical="top" wrapText="1"/>
    </xf>
    <xf numFmtId="0" fontId="18" fillId="0" borderId="0" xfId="0" quotePrefix="1" applyFont="1" applyAlignment="1">
      <alignment horizontal="left" vertical="top" wrapText="1"/>
    </xf>
    <xf numFmtId="0" fontId="31" fillId="0" borderId="0" xfId="0" quotePrefix="1" applyFont="1" applyAlignment="1">
      <alignment horizontal="left" wrapText="1"/>
    </xf>
    <xf numFmtId="0" fontId="41" fillId="0" borderId="0" xfId="0" applyFont="1"/>
    <xf numFmtId="0" fontId="19" fillId="0" borderId="1" xfId="0" applyFont="1" applyFill="1" applyBorder="1" applyAlignment="1"/>
    <xf numFmtId="0" fontId="1" fillId="0" borderId="2" xfId="0" applyFont="1" applyBorder="1"/>
    <xf numFmtId="0" fontId="19" fillId="0" borderId="1" xfId="0" applyFont="1" applyBorder="1" applyAlignment="1"/>
    <xf numFmtId="0" fontId="16" fillId="0" borderId="1" xfId="0" applyFont="1" applyBorder="1" applyAlignment="1"/>
    <xf numFmtId="0" fontId="16" fillId="0" borderId="1" xfId="0" applyFont="1" applyFill="1" applyBorder="1" applyAlignment="1"/>
    <xf numFmtId="0" fontId="16" fillId="0" borderId="9" xfId="0" applyFont="1" applyFill="1" applyBorder="1" applyAlignment="1"/>
    <xf numFmtId="0" fontId="16" fillId="0" borderId="4" xfId="0" applyFont="1" applyFill="1" applyBorder="1" applyAlignment="1"/>
    <xf numFmtId="0" fontId="16" fillId="0" borderId="7" xfId="0" applyFont="1" applyFill="1" applyBorder="1" applyAlignment="1"/>
    <xf numFmtId="0" fontId="16" fillId="0" borderId="13" xfId="0" applyFont="1" applyFill="1" applyBorder="1" applyAlignment="1"/>
    <xf numFmtId="0" fontId="16" fillId="0" borderId="8" xfId="0" applyFont="1" applyFill="1" applyBorder="1" applyAlignment="1"/>
    <xf numFmtId="0" fontId="16" fillId="0" borderId="2" xfId="0" applyFont="1" applyFill="1" applyBorder="1" applyAlignment="1"/>
    <xf numFmtId="0" fontId="41" fillId="0" borderId="2" xfId="0" applyFont="1" applyBorder="1"/>
    <xf numFmtId="0" fontId="0" fillId="0" borderId="9" xfId="0" applyBorder="1"/>
    <xf numFmtId="0" fontId="19" fillId="0" borderId="9" xfId="0" applyFont="1" applyFill="1" applyBorder="1" applyAlignment="1"/>
    <xf numFmtId="0" fontId="19" fillId="0" borderId="9" xfId="0" applyFont="1" applyBorder="1" applyAlignment="1"/>
    <xf numFmtId="0" fontId="16" fillId="0" borderId="9" xfId="0" applyFont="1" applyBorder="1" applyAlignment="1"/>
    <xf numFmtId="0" fontId="16" fillId="0" borderId="11" xfId="0" applyFont="1" applyBorder="1"/>
    <xf numFmtId="0" fontId="16" fillId="0" borderId="11" xfId="0" applyFont="1" applyFill="1" applyBorder="1" applyAlignment="1"/>
    <xf numFmtId="0" fontId="16" fillId="0" borderId="12" xfId="0" applyFont="1" applyFill="1" applyBorder="1" applyAlignment="1"/>
    <xf numFmtId="0" fontId="16" fillId="0" borderId="10" xfId="0" applyFont="1" applyFill="1" applyBorder="1" applyAlignment="1"/>
    <xf numFmtId="0" fontId="19" fillId="26" borderId="9" xfId="0" applyFont="1" applyFill="1" applyBorder="1"/>
    <xf numFmtId="0" fontId="1" fillId="0" borderId="0" xfId="0" applyFont="1"/>
    <xf numFmtId="0" fontId="19" fillId="23" borderId="1" xfId="0" applyFont="1" applyFill="1" applyBorder="1"/>
    <xf numFmtId="0" fontId="19" fillId="27" borderId="1" xfId="0" applyFont="1" applyFill="1" applyBorder="1"/>
    <xf numFmtId="0" fontId="19" fillId="32" borderId="1" xfId="0" applyFont="1" applyFill="1" applyBorder="1"/>
    <xf numFmtId="0" fontId="16" fillId="24" borderId="1" xfId="0" applyFont="1" applyFill="1" applyBorder="1"/>
  </cellXfs>
  <cellStyles count="2">
    <cellStyle name="Hyperlink" xfId="1" builtinId="8"/>
    <cellStyle name="Normal" xfId="0" builtinId="0"/>
  </cellStyles>
  <dxfs count="317">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minor"/>
      </font>
      <border diagonalUp="0" diagonalDown="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b val="0"/>
        <i val="0"/>
        <strike val="0"/>
        <condense val="0"/>
        <extend val="0"/>
        <outline val="0"/>
        <shadow val="0"/>
        <u val="none"/>
        <vertAlign val="baseline"/>
        <sz val="10"/>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scheme val="minor"/>
      </font>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sz val="10"/>
        <name val="Calibri"/>
        <scheme val="minor"/>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dxf>
    <dxf>
      <font>
        <b val="0"/>
      </font>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fill>
        <patternFill patternType="none">
          <fgColor indexed="64"/>
          <bgColor indexed="65"/>
        </patternFill>
      </fill>
      <alignment horizontal="general"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family val="2"/>
        <scheme val="minor"/>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rgb="FF000000"/>
        <name val="Calibri"/>
        <scheme val="minor"/>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Calibri"/>
        <family val="2"/>
        <scheme val="minor"/>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0"/>
        <color theme="1"/>
        <name val="Calibri"/>
        <family val="2"/>
        <scheme val="minor"/>
      </font>
      <border diagonalUp="0" diagonalDown="0" outline="0">
        <left style="thin">
          <color rgb="FF000000"/>
        </left>
        <right style="thin">
          <color rgb="FF000000"/>
        </right>
        <top style="thin">
          <color rgb="FF000000"/>
        </top>
        <bottom/>
      </border>
    </dxf>
    <dxf>
      <font>
        <sz val="10"/>
        <name val="Calibri"/>
        <scheme val="minor"/>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rgb="FFA9D08E"/>
          <bgColor indexed="65"/>
        </patternFill>
      </fill>
    </dxf>
    <dxf>
      <fill>
        <patternFill patternType="solid">
          <fgColor rgb="FF00B0F0"/>
          <bgColor indexed="65"/>
        </patternFill>
      </fill>
    </dxf>
    <dxf>
      <fill>
        <patternFill patternType="solid">
          <fgColor rgb="FFBF8F00"/>
          <bgColor indexed="65"/>
        </patternFill>
      </fill>
    </dxf>
    <dxf>
      <fill>
        <patternFill patternType="solid">
          <fgColor rgb="FF92D050"/>
          <bgColor indexed="65"/>
        </patternFill>
      </fill>
    </dxf>
    <dxf>
      <fill>
        <patternFill patternType="solid">
          <fgColor rgb="FF00B050"/>
          <bgColor indexed="65"/>
        </patternFill>
      </fill>
    </dxf>
    <dxf>
      <fill>
        <patternFill patternType="solid">
          <fgColor rgb="FFFCE4D6"/>
          <bgColor indexed="65"/>
        </patternFill>
      </fill>
    </dxf>
    <dxf>
      <font>
        <sz val="10"/>
        <name val="Calibri"/>
        <scheme val="minor"/>
      </font>
    </dxf>
    <dxf>
      <fill>
        <patternFill patternType="solid">
          <fgColor indexed="64"/>
          <bgColor theme="0" tint="-4.9989318521683403E-2"/>
        </patternFill>
      </fill>
    </dxf>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s>
  <tableStyles count="1">
    <tableStyle name="FPP 2023-style" pivot="0" count="3" xr9:uid="{00000000-0011-0000-FFFF-FFFF00000000}">
      <tableStyleElement type="headerRow" dxfId="316"/>
      <tableStyleElement type="firstRowStripe" dxfId="315"/>
      <tableStyleElement type="secondRowStripe" dxfId="314"/>
    </tableStyle>
  </tableStyles>
  <colors>
    <mruColors>
      <color rgb="FFFFE5D7"/>
      <color rgb="FFBF8F03"/>
      <color rgb="FF92D04F"/>
      <color rgb="FF92D051"/>
      <color rgb="FFECDC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microsoft.com/office/2022/11/relationships/FeaturePropertyBag" Target="featurePropertyBag/featurePropertyBag.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14" Type="http://customschemas.google.com/relationships/workbookmetadata" Target="metadata"/></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X113" totalsRowShown="0" headerRowDxfId="313" dataDxfId="312">
  <autoFilter ref="A1:FX113" xr:uid="{00000000-000C-0000-FFFF-FFFF0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autoFilter>
  <sortState xmlns:xlrd2="http://schemas.microsoft.com/office/spreadsheetml/2017/richdata2" ref="A2:FX28">
    <sortCondition sortBy="cellColor" ref="B2:B28" dxfId="311"/>
    <sortCondition sortBy="cellColor" ref="B2:B28" dxfId="310"/>
    <sortCondition sortBy="cellColor" ref="B2:B28" dxfId="309"/>
    <sortCondition sortBy="cellColor" ref="B2:B28" dxfId="308"/>
    <sortCondition sortBy="cellColor" ref="B2:B28" dxfId="307"/>
    <sortCondition descending="1" sortBy="cellColor" ref="Z2:Z28" dxfId="306"/>
    <sortCondition ref="FX2:FX28"/>
  </sortState>
  <tableColumns count="180">
    <tableColumn id="2" xr3:uid="{00000000-0010-0000-0000-000002000000}" name="Group Assignment" dataDxfId="305" totalsRowDxfId="304"/>
    <tableColumn id="3" xr3:uid="{00000000-0010-0000-0000-000003000000}" name="Name"/>
    <tableColumn id="85" xr3:uid="{FE8BCF24-8B2E-4E6B-8045-091CE28BC67E}" name="Phone Number (xxx-xxx-xxxx)" totalsRowDxfId="303"/>
    <tableColumn id="84" xr3:uid="{E7889B5F-FE7B-4F5E-BF5E-AFD8DEA98681}" name="Phone Details or Alternative Phone #" dataDxfId="302" totalsRowDxfId="301"/>
    <tableColumn id="112" xr3:uid="{62CB7FDA-3A3F-4B63-926B-CA689CF4A251}" name="Texts Preferred?" totalsRowDxfId="300"/>
    <tableColumn id="21" xr3:uid="{51D089BD-4410-45FE-91F4-5CE393481CC5}" name="Able to Receive Texts?" dataDxfId="299" totalsRowDxfId="298"/>
    <tableColumn id="6" xr3:uid="{3DF4AD05-2847-4462-BDD8-7B6BE7E65573}" name="Paired?" dataDxfId="297" totalsRowDxfId="296"/>
    <tableColumn id="22" xr3:uid="{C7E41A45-11F8-4464-8641-2D9B903DFC6D}" name="Notes to FPP Team" dataDxfId="295" totalsRowDxfId="294"/>
    <tableColumn id="86" xr3:uid="{F643082C-8FE4-480E-85D0-68938EB7FEDB}" name="Notes for Drivers (Route Info)" dataDxfId="293" totalsRowDxfId="292"/>
    <tableColumn id="9" xr3:uid="{1C0D4275-E348-4BC0-9C47-15F892818974}" name="Locked building?" dataDxfId="291" totalsRowDxfId="290"/>
    <tableColumn id="32" xr3:uid="{7C0B5FE6-0B10-4E55-8725-34948DCEAFA9}" name="Guardian" dataDxfId="289" totalsRowDxfId="288"/>
    <tableColumn id="10" xr3:uid="{15F60FB0-B155-40BE-B402-A54FFBAABFA6}" name="Household size" dataDxfId="287" totalsRowDxfId="286"/>
    <tableColumn id="20" xr3:uid="{0E0FE13B-1392-41DE-AF4F-13B412912414}" name="Address" dataDxfId="3"/>
    <tableColumn id="59" xr3:uid="{60652085-89EC-4B0B-98F3-115815CDF64B}" name="Street" dataDxfId="285" totalsRowDxfId="284"/>
    <tableColumn id="88" xr3:uid="{FE56C26E-C8D0-4976-BE44-19F31F522105}" name="City" dataDxfId="283" totalsRowDxfId="282"/>
    <tableColumn id="89" xr3:uid="{8015E287-A61A-4EA1-B5AF-9DD7E8B55F70}" name="State/Region" dataDxfId="281" totalsRowDxfId="280"/>
    <tableColumn id="90" xr3:uid="{943F7957-3C5C-4A20-B5A8-8C5A0CE12157}" name="Postal" dataDxfId="279" totalsRowDxfId="278"/>
    <tableColumn id="91" xr3:uid="{10B4A252-40A7-4944-81AD-64F82C643E4B}" name="Country" dataDxfId="277" totalsRowDxfId="276"/>
    <tableColumn id="92" xr3:uid="{EA0A990F-1938-4F4B-8686-7C763EE8177B}" name="GeoCode"/>
    <tableColumn id="93" xr3:uid="{31975E8B-C2AA-44F1-8276-50506639C296}" name="GeoCode Distance From FFS"/>
    <tableColumn id="94" xr3:uid="{BC62DCD3-E846-427B-82F0-9D3D7FD4D9AB}" name="GeoCodeDriveTimefromFFS" dataDxfId="275"/>
    <tableColumn id="87" xr3:uid="{F68E19A0-EF99-4345-97F3-44CBF71AD1ED}" name="GeoCoded Date" dataDxfId="274"/>
    <tableColumn id="4" xr3:uid="{00000000-0010-0000-0000-000004000000}" name="Unique Identifier" dataDxfId="273" totalsRowDxfId="272"/>
    <tableColumn id="77" xr3:uid="{7E231A9C-BD5E-42F4-B974-E3A1E907C80F}" name="Consent to Access Medical Record, if Necessary? " dataDxfId="271" totalsRowDxfId="270"/>
    <tableColumn id="12" xr3:uid="{00000000-0010-0000-0000-00000C000000}" name="# of Bags" dataDxfId="269" totalsRowDxfId="268"/>
    <tableColumn id="13" xr3:uid="{00000000-0010-0000-0000-00000D000000}" name="Preferred Language" dataDxfId="267" totalsRowDxfId="266"/>
    <tableColumn id="14" xr3:uid="{00000000-0010-0000-0000-00000E000000}" name="Pronouns$" dataDxfId="265" totalsRowDxfId="264"/>
    <tableColumn id="17" xr3:uid="{00000000-0010-0000-0000-000011000000}" name="Race/ Ethnicity$" dataDxfId="263" totalsRowDxfId="262"/>
    <tableColumn id="74" xr3:uid="{50E75B1B-4213-4E1F-98AB-77824CEF23D7}" name="Email Address" dataDxfId="261" totalsRowDxfId="260"/>
    <tableColumn id="167" xr3:uid="{7BDE3303-3A24-45CE-9838-F16EDB451E90}" name="Annual Re-enrollment Survey Complete?" dataDxfId="259" totalsRowDxfId="258"/>
    <tableColumn id="44" xr3:uid="{354145AF-1174-41DF-BB94-581273A5ED50}" name="Call Notes 8/19" dataDxfId="257" totalsRowDxfId="256"/>
    <tableColumn id="45" xr3:uid="{58D50D5E-426B-4FA3-8EA7-4E5F381CD8C6}" name="Call Notes 8/26" dataDxfId="255" totalsRowDxfId="254"/>
    <tableColumn id="46" xr3:uid="{24B3B86E-F4FF-4E84-8092-51977FAAEA85}" name="Call Notes 9/2" dataDxfId="253" totalsRowDxfId="252"/>
    <tableColumn id="51" xr3:uid="{D50703AE-D03C-450C-B926-FAFD238D20C3}" name="Call Notes 9/9" dataDxfId="251" totalsRowDxfId="250"/>
    <tableColumn id="33" xr3:uid="{C758AFB9-A2EE-4B19-A44A-BD89311A8D31}" name="Call Notes 9/16" dataDxfId="249" totalsRowDxfId="248"/>
    <tableColumn id="34" xr3:uid="{8B844324-89BF-4531-BC35-FA259B21FF01}" name="Call Notes 9/23" dataDxfId="247" totalsRowDxfId="246"/>
    <tableColumn id="35" xr3:uid="{D30D4AB0-D1A1-4DBB-A71F-BD030F76B36E}" name="Call Notes 9/30" dataDxfId="245" totalsRowDxfId="244"/>
    <tableColumn id="36" xr3:uid="{43D779A6-7673-4BCA-955B-21CBF4EA1D8B}" name="Call Notes 10/7" dataDxfId="243" totalsRowDxfId="242"/>
    <tableColumn id="37" xr3:uid="{50F25BEE-DA67-41E0-96BE-E2FBB633B269}" name="Call Notes 10/14" dataDxfId="241" totalsRowDxfId="240"/>
    <tableColumn id="38" xr3:uid="{D853CE5E-7A44-4388-8884-EB56858E1441}" name="Call Notes 10/21" dataDxfId="239" totalsRowDxfId="238"/>
    <tableColumn id="39" xr3:uid="{2F242813-E0F0-40D8-A83C-9FADEFAD1DB6}" name="Call Notes 10/28" dataDxfId="237" totalsRowDxfId="236"/>
    <tableColumn id="41" xr3:uid="{C855BEEE-9B54-4156-A753-51A50E716623}" name="Call Notes 11/4" dataDxfId="235" totalsRowDxfId="234"/>
    <tableColumn id="43" xr3:uid="{5F9E2676-6AD0-4A60-960E-F58E7904AEC1}" name="Call Notes 11/11" dataDxfId="233" totalsRowDxfId="232"/>
    <tableColumn id="40" xr3:uid="{ED943E32-3FD7-41D9-8084-4B22D8852BC3}" name="Call Notes 11/18" dataDxfId="231" totalsRowDxfId="230"/>
    <tableColumn id="52" xr3:uid="{1D46A17C-6E11-4489-B26A-670F0889E472}" name="Call Notes 11/25" dataDxfId="229" totalsRowDxfId="228"/>
    <tableColumn id="53" xr3:uid="{B56E0987-46BD-4177-ACDA-1C439BD64ED1}" name="Call Notes 12/2" dataDxfId="227" totalsRowDxfId="226"/>
    <tableColumn id="54" xr3:uid="{D287DF78-1301-4EB1-965E-392F4EFC68F2}" name="Call Notes 12/9" dataDxfId="225" totalsRowDxfId="224"/>
    <tableColumn id="55" xr3:uid="{CACBB712-4D10-4AA7-8F58-7CBE52CD2829}" name="Call Notes 12/16" dataDxfId="223" totalsRowDxfId="222"/>
    <tableColumn id="56" xr3:uid="{B46F05DD-2647-47F7-B03A-97BD4ED9AB0C}" name="Call Notes 12/23" dataDxfId="221" totalsRowDxfId="220"/>
    <tableColumn id="57" xr3:uid="{E80DC234-ADB9-41AD-A55C-A7BA4E59BD06}" name="Call Notes 12/30" dataDxfId="219" totalsRowDxfId="218"/>
    <tableColumn id="58" xr3:uid="{A9FB1F0B-7246-48E3-A0A8-19BC0185E9E2}" name="Call Notes 1/6" dataDxfId="217" totalsRowDxfId="216"/>
    <tableColumn id="60" xr3:uid="{A5F52AC8-4941-4A1C-A3D7-92F13BAD740A}" name="Call Notes 1/13" dataDxfId="215" totalsRowDxfId="214"/>
    <tableColumn id="72" xr3:uid="{66A09ABB-1808-463F-917E-D6D250B75AC1}" name="Paired? (Y [volunteer] / N)" dataDxfId="213" totalsRowDxfId="212"/>
    <tableColumn id="67" xr3:uid="{0CA4492C-8E9C-4D65-BBF4-548DD8BEAEEA}" name="GLIDE Participants" dataDxfId="211" totalsRowDxfId="210"/>
    <tableColumn id="61" xr3:uid="{53290875-09DD-40E4-881F-7C84F45B5582}" name="Call Notes 1/20" dataDxfId="209" totalsRowDxfId="208"/>
    <tableColumn id="62" xr3:uid="{BD600869-1249-44D9-A197-24F083308C4C}" name="Call Notes 1/27" dataDxfId="207" totalsRowDxfId="206"/>
    <tableColumn id="63" xr3:uid="{A961F060-3978-4A7E-9B0B-65757D36D248}" name="Call Notes 2/3" dataDxfId="205" totalsRowDxfId="204"/>
    <tableColumn id="64" xr3:uid="{8960D2D0-D342-4AA4-A97C-3D1CBE4BD2E4}" name="Call Notes 2/10" dataDxfId="203" totalsRowDxfId="202"/>
    <tableColumn id="42" xr3:uid="{00000000-0010-0000-0000-00002A000000}" name="Call Notes 2/17" dataDxfId="201" totalsRowDxfId="200"/>
    <tableColumn id="66" xr3:uid="{2F043F42-7F70-4BA3-81A4-813A167C7BEF}" name="Call Notes 2/24" dataDxfId="199" totalsRowDxfId="198"/>
    <tableColumn id="68" xr3:uid="{7E5B951B-0DA7-4BBD-91A1-C4A4943F31F0}" name="Call Notes 3/2" dataDxfId="197" totalsRowDxfId="196"/>
    <tableColumn id="69" xr3:uid="{B232C933-8970-4D37-9858-3175C39BAEA8}" name="Call Notes 3/9" dataDxfId="195" totalsRowDxfId="194"/>
    <tableColumn id="70" xr3:uid="{5C5811D6-939E-4123-BC28-31DF965DB8B5}" name="Call Notes 3/16" dataDxfId="193" totalsRowDxfId="192"/>
    <tableColumn id="71" xr3:uid="{691C018E-6CE8-41D2-A56B-AFCA6B489362}" name="Call Notes 3/23" dataDxfId="191" totalsRowDxfId="190"/>
    <tableColumn id="73" xr3:uid="{2BFBA8CF-EE87-45AD-8061-F4DEE2E5533C}" name="Call Notes 3/30" dataDxfId="189" totalsRowDxfId="188"/>
    <tableColumn id="75" xr3:uid="{3AB6254A-2575-409B-8DB9-0AD84E42E644}" name="Call Notes 4/6" dataDxfId="187" totalsRowDxfId="186"/>
    <tableColumn id="76" xr3:uid="{3E30F72B-5B88-46C2-AC52-51B956DD8703}" name="Call Notes 4/13" dataDxfId="185" totalsRowDxfId="184"/>
    <tableColumn id="78" xr3:uid="{E8DE8C5F-11CC-491A-B07E-07CCFA9B6A68}" name="Call Notes 4/20" dataDxfId="183" totalsRowDxfId="182"/>
    <tableColumn id="79" xr3:uid="{F590BFA0-893E-44DF-B07C-19C0B5C15486}" name="Call Notes 4/27" dataDxfId="181" totalsRowDxfId="180"/>
    <tableColumn id="81" xr3:uid="{D305A09D-90E1-49CD-8144-30C2B18D003D}" name="Call Notes 5/11" dataDxfId="179" totalsRowDxfId="178"/>
    <tableColumn id="82" xr3:uid="{2CAAD14E-6DC9-4DD3-B1A4-18CBF5758E39}" name="Call Notes 5/18" dataDxfId="177" totalsRowDxfId="176"/>
    <tableColumn id="83" xr3:uid="{6ADE2472-110D-4882-8BF9-7FD0C4A121F4}" name="Call Notes 5/25" dataDxfId="175" totalsRowDxfId="174"/>
    <tableColumn id="23" xr3:uid="{086597F6-B78C-4566-9D96-C81A0E9BEBC5}" name="Call Notes 6/1" dataDxfId="173" totalsRowDxfId="172"/>
    <tableColumn id="65" xr3:uid="{031A2552-32F1-4DC3-9716-1F9B86A15508}" name="Call Notes 6/8" dataDxfId="171" totalsRowDxfId="170"/>
    <tableColumn id="25" xr3:uid="{776A33BD-9E59-4839-BBCF-6F436896524A}" name="Call Notes 6/15" dataDxfId="169" totalsRowDxfId="168"/>
    <tableColumn id="26" xr3:uid="{478FC60A-4DED-4A8E-BE28-45602621AC24}" name="Call Notes 6/22" dataDxfId="167" totalsRowDxfId="166"/>
    <tableColumn id="27" xr3:uid="{5889ECE2-057A-4198-82DB-3A0E4DE696F3}" name="Call Notes 6/29" dataDxfId="165" totalsRowDxfId="164"/>
    <tableColumn id="28" xr3:uid="{B1C81744-5DF1-42D1-BB86-681A40B94B47}" name="Call Notes 7/6" dataDxfId="163" totalsRowDxfId="162"/>
    <tableColumn id="29" xr3:uid="{AC1359A7-522C-4CEA-A923-AF3E3D92E5B0}" name="Call Notes 7/13" dataDxfId="161" totalsRowDxfId="160"/>
    <tableColumn id="47" xr3:uid="{D91C0989-BFA7-4827-A27B-A216FD1BCCAE}" name="Call Notes 7/20" dataDxfId="159" totalsRowDxfId="158"/>
    <tableColumn id="48" xr3:uid="{F68C49E4-B7C8-493A-8809-0F61AD384BE2}" name="Call Notes 7/27" dataDxfId="157" totalsRowDxfId="156"/>
    <tableColumn id="49" xr3:uid="{7E6EEA53-1480-4AA5-B9B0-7D768C9B604E}" name="Call Notes 8/3" dataDxfId="155" totalsRowDxfId="154"/>
    <tableColumn id="50" xr3:uid="{E022C708-9334-4D88-9E0B-2AE1045E5555}" name="Call Notes 8/10" dataDxfId="153" totalsRowDxfId="152"/>
    <tableColumn id="24" xr3:uid="{E93D0EEF-DAC3-4B15-A2B9-462527F597FA}" name="Call Notes 8/17" dataDxfId="151" totalsRowDxfId="150"/>
    <tableColumn id="96" xr3:uid="{D79BAA41-B8B0-474C-9F47-0E7FED42AAD1}" name="Call Notes 8/24" dataDxfId="149" totalsRowDxfId="148"/>
    <tableColumn id="97" xr3:uid="{DBE00B25-3CD4-4D8F-B7E6-28497C935289}" name="Call Notes 8/31" dataDxfId="147" totalsRowDxfId="146"/>
    <tableColumn id="98" xr3:uid="{406E38C2-DAAD-4EF6-90EB-A3DAC23B368D}" name="Call Notes 9/7" dataDxfId="145" totalsRowDxfId="144"/>
    <tableColumn id="99" xr3:uid="{6C8A2930-928B-4963-9708-8857E16F54ED}" name="Call Notes 9/14" dataDxfId="143" totalsRowDxfId="142"/>
    <tableColumn id="95" xr3:uid="{DDBD73ED-1F61-4B97-9697-EE6D595AD958}" name="Call Notes 9/21" dataDxfId="141" totalsRowDxfId="140"/>
    <tableColumn id="100" xr3:uid="{D3BC54F6-78D6-4966-8C9D-D3874CAEAFD4}" name="Call Notes 9/28" dataDxfId="139" totalsRowDxfId="138"/>
    <tableColumn id="102" xr3:uid="{69C52A4E-F4F2-44F2-A6E9-040B372AF4FA}" name="Call Notes 10/5" dataDxfId="137" totalsRowDxfId="136"/>
    <tableColumn id="103" xr3:uid="{DCA22DF9-0DD2-4134-8649-B4DC254EB82B}" name="Call Notes 10/12" dataDxfId="135" totalsRowDxfId="134"/>
    <tableColumn id="101" xr3:uid="{F6E742FF-78D8-40D3-90F5-67A6B311E676}" name="Call Notes 10/19" dataDxfId="133" totalsRowDxfId="132"/>
    <tableColumn id="104" xr3:uid="{FFE8B449-3BB1-4F83-B781-992E04500820}" name="Call Notes 10/26" dataDxfId="131" totalsRowDxfId="130"/>
    <tableColumn id="106" xr3:uid="{36551362-5C44-4947-923D-1EF7098117B2}" name="Call Notes 11/2" dataDxfId="129" totalsRowDxfId="128"/>
    <tableColumn id="107" xr3:uid="{4D96E621-24D7-4309-8639-4B6AFFFFA4A5}" name="Call Notes 11/9" dataDxfId="127" totalsRowDxfId="126"/>
    <tableColumn id="108" xr3:uid="{F7FC3E71-5DC7-4134-96BB-E243C25DAD6E}" name="Call Notes 11/16" dataDxfId="125" totalsRowDxfId="124"/>
    <tableColumn id="109" xr3:uid="{FB9F216A-70EE-47CF-9D45-480D9D69EA01}" name="Call Notes 11/23" dataDxfId="123" totalsRowDxfId="122"/>
    <tableColumn id="110" xr3:uid="{5D557806-0709-4971-A9F2-AD3FA9A4942A}" name="Call Notes 11/30" dataDxfId="121" totalsRowDxfId="120"/>
    <tableColumn id="111" xr3:uid="{478462B9-2A2E-425C-BD3C-A913BBCD3AFE}" name="Call Notes 12/7" dataDxfId="119" totalsRowDxfId="118"/>
    <tableColumn id="113" xr3:uid="{6CAD8027-6D9B-4163-988D-5D293820E672}" name="Call Notes 12/14" dataDxfId="117" totalsRowDxfId="116"/>
    <tableColumn id="114" xr3:uid="{F5EFFDC2-FAA5-4633-9C63-A2CE46C1B741}" name="Call Notes 12/21" dataDxfId="115" totalsRowDxfId="114"/>
    <tableColumn id="115" xr3:uid="{C6AD1A51-38DA-4908-9659-D610BA042CE6}" name="Call Notes 12/28" dataDxfId="113" totalsRowDxfId="112"/>
    <tableColumn id="116" xr3:uid="{00ED9EEB-1D25-4C92-9BA6-02DBEBA08F1D}" name="Call Notes 1/4" dataDxfId="111" totalsRowDxfId="110"/>
    <tableColumn id="117" xr3:uid="{406B772F-01CA-4BC5-B3B9-2BC0659FA181}" name="Call Notes 1/11" dataDxfId="109" totalsRowDxfId="108"/>
    <tableColumn id="118" xr3:uid="{67BB5927-9AC9-4CEC-BA5D-254194D94D45}" name="Call Notes 1/18" dataDxfId="107" totalsRowDxfId="106"/>
    <tableColumn id="119" xr3:uid="{65C1BC33-3350-4C2C-A7F8-D1BBC601CA34}" name="Call Notes 1/25" dataDxfId="105" totalsRowDxfId="104"/>
    <tableColumn id="120" xr3:uid="{6161FB96-B85D-42C5-A959-162CED0A0A74}" name="Call Notes 2/1" dataDxfId="103" totalsRowDxfId="102"/>
    <tableColumn id="121" xr3:uid="{6190C37F-A0C8-4B42-9E72-B042F006B174}" name="Call Notes 2/8" dataDxfId="101" totalsRowDxfId="100"/>
    <tableColumn id="122" xr3:uid="{8D6E0ABA-E9EA-4B76-8807-F393337449D6}" name="Call Notes 2/15" dataDxfId="99" totalsRowDxfId="98"/>
    <tableColumn id="80" xr3:uid="{A49C49E2-5E6A-4436-A980-69455CC09E05}" name="Call Notes 5/4" dataDxfId="97" totalsRowDxfId="96"/>
    <tableColumn id="123" xr3:uid="{EC8B414F-10BC-4B67-8718-CCCB66C341C7}" name="Call Notes 2/22" dataDxfId="95" totalsRowDxfId="94"/>
    <tableColumn id="124" xr3:uid="{0E82B274-4365-4AEC-B8AE-E3BEA086B15C}" name="Call Notes 3/1" dataDxfId="93" totalsRowDxfId="92"/>
    <tableColumn id="125" xr3:uid="{9BC3754B-9648-47C6-9753-FA2EB3E4AE44}" name="Call Notes 3/8" dataDxfId="91" totalsRowDxfId="90"/>
    <tableColumn id="126" xr3:uid="{DB0E7257-2138-43CD-BCA0-1FBD28C1A774}" name="Call Notes 3/15" dataDxfId="89" totalsRowDxfId="88"/>
    <tableColumn id="127" xr3:uid="{C93C1541-1310-493C-8CB1-F94A3D032754}" name="Call Notes 3/22" dataDxfId="87" totalsRowDxfId="86"/>
    <tableColumn id="128" xr3:uid="{DF3FE925-BA73-4231-B3EC-4A4A2C3D9091}" name="Call Notes 3/29" dataDxfId="85" totalsRowDxfId="84"/>
    <tableColumn id="129" xr3:uid="{4A03A537-F3C7-4ECE-82F8-8D160931B9D3}" name="Call Notes 4/5" dataDxfId="83" totalsRowDxfId="82"/>
    <tableColumn id="105" xr3:uid="{352B4E74-413A-4012-A9B9-9ABA6A1BC14A}" name="Call Notes 4/12" dataDxfId="81" totalsRowDxfId="80"/>
    <tableColumn id="130" xr3:uid="{61F62ED7-3C92-41BD-BE33-CB30B6F2296A}" name="Call Notes 4/19" dataDxfId="79" totalsRowDxfId="78"/>
    <tableColumn id="132" xr3:uid="{7FDB7F68-AC07-4AA4-BAA0-30408D16C323}" name="Call Notes 4/26" dataDxfId="77" totalsRowDxfId="76"/>
    <tableColumn id="133" xr3:uid="{284782F3-D5EE-4B65-8488-EA9958843B07}" name="Call Notes 5/3" dataDxfId="75" totalsRowDxfId="74"/>
    <tableColumn id="134" xr3:uid="{F99700F3-E10B-4432-BDE5-F72E11329E20}" name="Call Notes 5/10" dataDxfId="73" totalsRowDxfId="72"/>
    <tableColumn id="131" xr3:uid="{FAF9D6FE-6375-47AC-9752-C49114AEB7BE}" name="Call Notes 5/17" dataDxfId="71" totalsRowDxfId="70"/>
    <tableColumn id="135" xr3:uid="{949A2727-03DF-4F12-BF9B-66F5A7D905D5}" name="Call Notes 5/24" dataDxfId="69" totalsRowDxfId="68"/>
    <tableColumn id="138" xr3:uid="{D07B9D0A-F445-4B8E-B0C8-8F919DA28CC0}" name="Call Notes 5/31" dataDxfId="67" totalsRowDxfId="66"/>
    <tableColumn id="5" xr3:uid="{67C0D4DF-23B1-4ADF-A62B-49F266AA7CA4}" name="Call Notes 6/7" dataDxfId="65" totalsRowDxfId="64"/>
    <tableColumn id="136" xr3:uid="{7033DC2B-B946-4BA3-9B2E-653CA3AFF8C8}" name="Call Notes 6/14" dataDxfId="63" totalsRowDxfId="62"/>
    <tableColumn id="137" xr3:uid="{E63E3712-DAFD-4162-8888-A1BB651799B5}" name="Call Notes 6/21" dataDxfId="61" totalsRowDxfId="60"/>
    <tableColumn id="7" xr3:uid="{96DAEC22-A9FF-43AA-8458-0712A993536F}" name="Call Notes 6/28" dataDxfId="59" totalsRowDxfId="58"/>
    <tableColumn id="11" xr3:uid="{CF42C0E7-A6C4-4D43-9D98-6BA25C2D5D99}" name="Call Notes 7/5" dataDxfId="57" totalsRowDxfId="56"/>
    <tableColumn id="8" xr3:uid="{BE13D73C-560F-4AAD-B23B-E27B71325D1C}" name="Call Notes 7/12" dataDxfId="55" totalsRowDxfId="54"/>
    <tableColumn id="15" xr3:uid="{24CD84BB-C155-4667-B38F-DB6A7895170B}" name="Call Notes 7/19" dataDxfId="53" totalsRowDxfId="52"/>
    <tableColumn id="18" xr3:uid="{15E675CF-5662-4778-B8B2-BE0670246FEA}" name="Call Notes 7/26" dataDxfId="51"/>
    <tableColumn id="19" xr3:uid="{30542D5A-9616-45C1-87AD-9A28F1CDAC38}" name="Call Notes 8/2" dataDxfId="50"/>
    <tableColumn id="139" xr3:uid="{B8916E72-746F-44A3-ACBA-EF20A69C8C6B}" name="Call Notes 8/9" dataDxfId="49"/>
    <tableColumn id="140" xr3:uid="{DDA463A2-7099-456F-AD05-71552ABA0F36}" name="Call Notes 8/16" dataDxfId="48"/>
    <tableColumn id="141" xr3:uid="{BE27F3B5-7A02-45E6-9675-BF06BCF2A269}" name="Call Notes 8/23" dataDxfId="47"/>
    <tableColumn id="142" xr3:uid="{DC6EB5C8-8958-42E8-859B-DEC247F5CB52}" name="Call Notes 8/30" dataDxfId="46"/>
    <tableColumn id="143" xr3:uid="{EC84DE65-2BAF-4985-83C3-117807A2F6C8}" name="Call Notes 9/6" dataDxfId="45"/>
    <tableColumn id="144" xr3:uid="{44588A85-FB6C-4F33-8956-D809636AB2F3}" name="Call Notes 9/13" dataDxfId="44"/>
    <tableColumn id="145" xr3:uid="{15FE42D4-E467-4985-906C-4DCAE14E6587}" name="Call Notes 9/20" dataDxfId="43"/>
    <tableColumn id="146" xr3:uid="{7B3A7616-34BE-4E5B-8975-AFAFE1744029}" name="Call Notes 9/27" dataDxfId="42"/>
    <tableColumn id="147" xr3:uid="{A34A149D-CB1F-4FFD-8352-87AAF341C013}" name="Call Notes 10/4" dataDxfId="41"/>
    <tableColumn id="148" xr3:uid="{36BDF3B5-12AD-4389-90F3-32EBF93D2FB3}" name="Call Notes 10/11" dataDxfId="40"/>
    <tableColumn id="149" xr3:uid="{799537B5-880A-4097-885B-923D4160C6FE}" name="Call Notes 10/18" dataDxfId="39"/>
    <tableColumn id="150" xr3:uid="{2F6D38FC-B8DB-4D6E-9223-AFD225EA15A3}" name="Call Notes 10/25" dataDxfId="38"/>
    <tableColumn id="151" xr3:uid="{0D320D7C-9B89-4B5D-BA5E-8A902D8F072B}" name="Call Notes 11/1" dataDxfId="37"/>
    <tableColumn id="152" xr3:uid="{64E8964F-1F5C-4C33-A1FC-936752A34CEB}" name="Call Notes 11/8" dataDxfId="36"/>
    <tableColumn id="153" xr3:uid="{18D35970-099E-4CE4-9E91-78DC6743D693}" name="Call Notes 11/15" dataDxfId="35"/>
    <tableColumn id="154" xr3:uid="{1FC7A6E4-DF8E-424F-862C-1982B96C306F}" name="Call Notes 11/22" dataDxfId="34"/>
    <tableColumn id="156" xr3:uid="{7DA7D743-D831-41B2-8636-6A258C177E33}" name="Call Notes 11/29" dataDxfId="33"/>
    <tableColumn id="155" xr3:uid="{C2C09FEE-B878-4C42-B7D5-2B53FD2CC4A0}" name="Call Notes 3/6" dataDxfId="32"/>
    <tableColumn id="157" xr3:uid="{9B515215-576B-481D-A50A-87243D22D9C1}" name="Call Notes 3/13" dataDxfId="31"/>
    <tableColumn id="158" xr3:uid="{863B50BD-50C1-40BD-8014-AB9A6F732BA1}" name="Call Notes 3/20" dataDxfId="30"/>
    <tableColumn id="16" xr3:uid="{6FEF9EF0-A23F-4BC6-86A0-74416631AA04}" name="Call Notes 3/27" dataDxfId="29" totalsRowDxfId="28"/>
    <tableColumn id="159" xr3:uid="{849060DD-64C9-455F-A89A-B2DF24493390}" name="Call Notes 4/3" dataDxfId="27"/>
    <tableColumn id="161" xr3:uid="{E366981E-9972-4264-96D4-1EBB11DBB249}" name="Call Notes 4/10" dataDxfId="26"/>
    <tableColumn id="160" xr3:uid="{71DEF5C4-0AF9-46FF-B1B0-B7D82BB271E0}" name="Call Notes 4/17" dataDxfId="25"/>
    <tableColumn id="163" xr3:uid="{F7035378-C14D-4F8F-8D64-569890861DB4}" name="Call Notes 4/24" dataDxfId="24"/>
    <tableColumn id="162" xr3:uid="{5D68F5EA-B6BA-4895-BCFA-D3CB3E646A7E}" name="Call Notes 5/1" dataDxfId="23"/>
    <tableColumn id="166" xr3:uid="{A1A91869-CDCC-4D3D-B13D-BA52883BDF79}" name="Column1" dataDxfId="22"/>
    <tableColumn id="164" xr3:uid="{A5B49400-6B17-467D-AC0D-63D390F7196A}" name="Column2" dataDxfId="21"/>
    <tableColumn id="168" xr3:uid="{B5766A79-648C-498F-BB34-957D55C9CDB4}" name="Column3" dataDxfId="20"/>
    <tableColumn id="165" xr3:uid="{A0FB6CB9-A1DE-421C-BAAB-12639770D958}" name="Column4" dataDxfId="19"/>
    <tableColumn id="170" xr3:uid="{37BE0F66-721F-464C-B370-5683E8DDD4DB}" name="Column5" dataDxfId="18"/>
    <tableColumn id="169" xr3:uid="{8116407A-12E7-48EA-B036-8B7280F4FC01}" name="Column6" dataDxfId="17"/>
    <tableColumn id="172" xr3:uid="{B953C3BF-E31C-4170-AAE7-6250CBC59F6B}" name="Column7" dataDxfId="16"/>
    <tableColumn id="171" xr3:uid="{8FE72517-D58E-41BC-9349-E26A940459C0}" name="Column8" dataDxfId="15"/>
    <tableColumn id="174" xr3:uid="{4078D8A6-A9E9-4AFD-874A-8D95AE679DB7}" name="Column9" dataDxfId="14"/>
    <tableColumn id="173" xr3:uid="{7F942867-AAC7-40A2-A14C-6A2883618B27}" name="Column10" dataDxfId="13"/>
    <tableColumn id="178" xr3:uid="{DDF8844F-24BC-4126-BFD4-87EC908E61A9}" name="Column11" dataDxfId="12"/>
    <tableColumn id="175" xr3:uid="{7568643B-FA87-44AB-B9E1-2ECF3E2C6600}" name="Column12" dataDxfId="11"/>
    <tableColumn id="181" xr3:uid="{6D964E7F-AB70-4833-A471-1A8B9C1D1291}" name="Column13" dataDxfId="10"/>
    <tableColumn id="180" xr3:uid="{61C8FE1A-8380-4B08-BDE2-3D2EE5EE1B6C}" name="Column14" dataDxfId="9"/>
    <tableColumn id="184" xr3:uid="{DA3973FD-7B05-41BD-9F6D-0A32B8AB0BEA}" name="Column15" dataDxfId="8"/>
    <tableColumn id="182" xr3:uid="{F97D5AB3-C64C-4D5B-99F1-EA4290366BCE}" name="Column16" dataDxfId="7"/>
    <tableColumn id="186" xr3:uid="{09F88AA8-2546-49CE-919D-D8ABBF83ADF9}" name="Column17" dataDxfId="6"/>
    <tableColumn id="185" xr3:uid="{7A0EDDBF-B16F-4EB5-ABF5-B39FE59EF65E}" name="Column18" dataDxfId="5"/>
    <tableColumn id="187" xr3:uid="{3A44BB56-7CFF-4733-82DE-D4D14B5E965E}" name="Column19" dataDxfId="4"/>
  </tableColumns>
  <tableStyleInfo name="FPP 2023-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_C-cMn_6l6onWVK_UipwuQSSXpiCqnZ0k9hgmvaJEKY/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1.1640625" defaultRowHeight="15" customHeight="1" x14ac:dyDescent="0.2"/>
  <cols>
    <col min="1" max="1" width="17.83203125" customWidth="1"/>
    <col min="2" max="8" width="11" hidden="1" customWidth="1"/>
    <col min="9" max="9" width="4.5" customWidth="1"/>
    <col min="10" max="10" width="8" customWidth="1"/>
    <col min="11" max="11" width="13" customWidth="1"/>
    <col min="12" max="12" width="43.83203125" customWidth="1"/>
    <col min="13" max="13" width="5" customWidth="1"/>
    <col min="14" max="14" width="14.1640625" customWidth="1"/>
    <col min="15" max="26" width="11" customWidth="1"/>
  </cols>
  <sheetData>
    <row r="1" spans="1:26" ht="48" x14ac:dyDescent="0.2">
      <c r="A1" s="1" t="s">
        <v>0</v>
      </c>
      <c r="B1" s="1" t="s">
        <v>1</v>
      </c>
      <c r="C1" s="1" t="s">
        <v>2</v>
      </c>
      <c r="D1" s="2" t="s">
        <v>3</v>
      </c>
      <c r="E1" s="2" t="s">
        <v>4</v>
      </c>
      <c r="F1" s="2" t="s">
        <v>5</v>
      </c>
      <c r="G1" s="2" t="s">
        <v>6</v>
      </c>
      <c r="H1" s="2" t="s">
        <v>7</v>
      </c>
      <c r="I1" s="1" t="s">
        <v>8</v>
      </c>
      <c r="J1" s="1" t="s">
        <v>9</v>
      </c>
      <c r="K1" s="1" t="s">
        <v>10</v>
      </c>
      <c r="L1" s="1" t="s">
        <v>11</v>
      </c>
      <c r="M1" s="3"/>
      <c r="N1" s="4">
        <v>43923</v>
      </c>
      <c r="O1" s="5"/>
      <c r="P1" s="5"/>
      <c r="Q1" s="5"/>
      <c r="R1" s="5"/>
      <c r="S1" s="5"/>
      <c r="T1" s="5"/>
      <c r="U1" s="5"/>
      <c r="V1" s="5"/>
      <c r="W1" s="5"/>
      <c r="X1" s="5"/>
      <c r="Y1" s="5"/>
      <c r="Z1" s="5"/>
    </row>
    <row r="2" spans="1:26" ht="16" x14ac:dyDescent="0.2">
      <c r="A2" s="6" t="s">
        <v>12</v>
      </c>
      <c r="B2" s="6"/>
      <c r="C2" s="6"/>
      <c r="D2" s="6"/>
      <c r="E2" s="6"/>
      <c r="F2" s="6" t="s">
        <v>13</v>
      </c>
      <c r="G2" s="6" t="s">
        <v>14</v>
      </c>
      <c r="H2" s="6" t="s">
        <v>14</v>
      </c>
      <c r="I2" s="7" t="s">
        <v>15</v>
      </c>
      <c r="J2" s="7" t="s">
        <v>16</v>
      </c>
      <c r="K2" s="7" t="s">
        <v>17</v>
      </c>
      <c r="L2" s="6" t="s">
        <v>18</v>
      </c>
      <c r="M2" s="8"/>
      <c r="N2" s="6"/>
      <c r="O2" s="6"/>
      <c r="P2" s="6"/>
      <c r="Q2" s="6"/>
      <c r="R2" s="6"/>
      <c r="S2" s="6"/>
      <c r="T2" s="6"/>
      <c r="U2" s="6"/>
      <c r="V2" s="6"/>
      <c r="W2" s="6"/>
      <c r="X2" s="6"/>
      <c r="Y2" s="6"/>
      <c r="Z2" s="6"/>
    </row>
    <row r="3" spans="1:26" ht="16" x14ac:dyDescent="0.2">
      <c r="A3" s="6" t="s">
        <v>19</v>
      </c>
      <c r="B3" s="6"/>
      <c r="C3" s="6"/>
      <c r="D3" s="6"/>
      <c r="E3" s="6"/>
      <c r="F3" s="6" t="s">
        <v>13</v>
      </c>
      <c r="G3" s="6" t="s">
        <v>14</v>
      </c>
      <c r="H3" s="6" t="s">
        <v>20</v>
      </c>
      <c r="I3" s="7" t="s">
        <v>21</v>
      </c>
      <c r="J3" s="7" t="s">
        <v>22</v>
      </c>
      <c r="K3" s="7" t="s">
        <v>23</v>
      </c>
      <c r="L3" s="6" t="s">
        <v>24</v>
      </c>
      <c r="M3" s="8"/>
      <c r="N3" s="6"/>
      <c r="O3" s="6"/>
      <c r="P3" s="6"/>
      <c r="Q3" s="6"/>
      <c r="R3" s="6"/>
      <c r="S3" s="6"/>
      <c r="T3" s="6"/>
      <c r="U3" s="6"/>
      <c r="V3" s="6"/>
      <c r="W3" s="6"/>
      <c r="X3" s="6"/>
      <c r="Y3" s="6"/>
      <c r="Z3" s="6"/>
    </row>
    <row r="4" spans="1:26" ht="16" x14ac:dyDescent="0.2">
      <c r="A4" s="6" t="s">
        <v>25</v>
      </c>
      <c r="B4" s="6"/>
      <c r="C4" s="6"/>
      <c r="D4" s="6"/>
      <c r="E4" s="6"/>
      <c r="F4" s="6">
        <v>21</v>
      </c>
      <c r="G4" s="6">
        <v>17</v>
      </c>
      <c r="H4" s="6" t="s">
        <v>14</v>
      </c>
      <c r="I4" s="7" t="s">
        <v>15</v>
      </c>
      <c r="J4" s="7" t="s">
        <v>26</v>
      </c>
      <c r="K4" s="7" t="s">
        <v>27</v>
      </c>
      <c r="L4" s="6" t="s">
        <v>24</v>
      </c>
      <c r="M4" s="8"/>
      <c r="N4" s="6"/>
      <c r="O4" s="6"/>
      <c r="P4" s="6"/>
      <c r="Q4" s="6"/>
      <c r="R4" s="6"/>
      <c r="S4" s="6"/>
      <c r="T4" s="6"/>
      <c r="U4" s="6"/>
      <c r="V4" s="6"/>
      <c r="W4" s="6"/>
      <c r="X4" s="6"/>
      <c r="Y4" s="6"/>
      <c r="Z4" s="6"/>
    </row>
    <row r="5" spans="1:26" ht="16" x14ac:dyDescent="0.2">
      <c r="A5" s="6" t="s">
        <v>28</v>
      </c>
      <c r="B5" s="6"/>
      <c r="C5" s="6"/>
      <c r="D5" s="6"/>
      <c r="E5" s="6"/>
      <c r="F5" s="6" t="s">
        <v>13</v>
      </c>
      <c r="G5" s="6" t="s">
        <v>14</v>
      </c>
      <c r="H5" s="6" t="s">
        <v>14</v>
      </c>
      <c r="I5" s="7" t="s">
        <v>21</v>
      </c>
      <c r="J5" s="7" t="s">
        <v>29</v>
      </c>
      <c r="K5" s="7" t="s">
        <v>30</v>
      </c>
      <c r="L5" s="6" t="s">
        <v>24</v>
      </c>
      <c r="M5" s="8"/>
      <c r="N5" s="6"/>
      <c r="O5" s="6"/>
      <c r="P5" s="6"/>
      <c r="Q5" s="6"/>
      <c r="R5" s="6"/>
      <c r="S5" s="6"/>
      <c r="T5" s="6"/>
      <c r="U5" s="6"/>
      <c r="V5" s="6"/>
      <c r="W5" s="6"/>
      <c r="X5" s="6"/>
      <c r="Y5" s="6"/>
      <c r="Z5" s="6"/>
    </row>
    <row r="6" spans="1:26" ht="16" x14ac:dyDescent="0.2">
      <c r="A6" s="6" t="s">
        <v>31</v>
      </c>
      <c r="B6" s="6"/>
      <c r="C6" s="6"/>
      <c r="D6" s="6"/>
      <c r="E6" s="6"/>
      <c r="F6" s="6" t="s">
        <v>13</v>
      </c>
      <c r="G6" s="6" t="s">
        <v>14</v>
      </c>
      <c r="H6" s="6" t="s">
        <v>14</v>
      </c>
      <c r="I6" s="7" t="s">
        <v>21</v>
      </c>
      <c r="J6" s="7" t="s">
        <v>32</v>
      </c>
      <c r="K6" s="7" t="s">
        <v>33</v>
      </c>
      <c r="L6" s="6" t="s">
        <v>24</v>
      </c>
      <c r="M6" s="8"/>
      <c r="N6" s="6"/>
      <c r="O6" s="6"/>
      <c r="P6" s="6"/>
      <c r="Q6" s="6"/>
      <c r="R6" s="6"/>
      <c r="S6" s="6"/>
      <c r="T6" s="6"/>
      <c r="U6" s="6"/>
      <c r="V6" s="6"/>
      <c r="W6" s="6"/>
      <c r="X6" s="6"/>
      <c r="Y6" s="6"/>
      <c r="Z6" s="6"/>
    </row>
    <row r="7" spans="1:26" ht="16" x14ac:dyDescent="0.2">
      <c r="A7" s="6" t="s">
        <v>34</v>
      </c>
      <c r="B7" s="6"/>
      <c r="C7" s="6"/>
      <c r="D7" s="6"/>
      <c r="E7" s="6"/>
      <c r="F7" s="6" t="e">
        <v>#VALUE!</v>
      </c>
      <c r="G7" s="6" t="s">
        <v>35</v>
      </c>
      <c r="H7" s="6" t="s">
        <v>14</v>
      </c>
      <c r="I7" s="7" t="s">
        <v>15</v>
      </c>
      <c r="J7" s="7" t="s">
        <v>36</v>
      </c>
      <c r="K7" s="7" t="s">
        <v>37</v>
      </c>
      <c r="L7" s="6" t="s">
        <v>24</v>
      </c>
      <c r="M7" s="8"/>
      <c r="N7" s="6"/>
      <c r="O7" s="6"/>
      <c r="P7" s="6"/>
      <c r="Q7" s="6"/>
      <c r="R7" s="6"/>
      <c r="S7" s="6"/>
      <c r="T7" s="6"/>
      <c r="U7" s="6"/>
      <c r="V7" s="6"/>
      <c r="W7" s="6"/>
      <c r="X7" s="6"/>
      <c r="Y7" s="6"/>
      <c r="Z7" s="6"/>
    </row>
    <row r="8" spans="1:26" ht="16" x14ac:dyDescent="0.2">
      <c r="A8" s="6" t="s">
        <v>38</v>
      </c>
      <c r="B8" s="6"/>
      <c r="C8" s="6"/>
      <c r="D8" s="6"/>
      <c r="E8" s="6"/>
      <c r="F8" s="6">
        <v>26</v>
      </c>
      <c r="G8" s="6" t="s">
        <v>35</v>
      </c>
      <c r="H8" s="6" t="s">
        <v>14</v>
      </c>
      <c r="I8" s="7" t="s">
        <v>15</v>
      </c>
      <c r="J8" s="7" t="s">
        <v>39</v>
      </c>
      <c r="K8" s="7" t="s">
        <v>40</v>
      </c>
      <c r="L8" s="6" t="s">
        <v>24</v>
      </c>
      <c r="M8" s="8"/>
      <c r="N8" s="6"/>
      <c r="O8" s="6"/>
      <c r="P8" s="6"/>
      <c r="Q8" s="6"/>
      <c r="R8" s="6"/>
      <c r="S8" s="6"/>
      <c r="T8" s="6"/>
      <c r="U8" s="6"/>
      <c r="V8" s="6"/>
      <c r="W8" s="6"/>
      <c r="X8" s="6"/>
      <c r="Y8" s="6"/>
      <c r="Z8" s="6"/>
    </row>
    <row r="9" spans="1:26" ht="16" x14ac:dyDescent="0.2">
      <c r="A9" s="6" t="s">
        <v>41</v>
      </c>
      <c r="B9" s="6"/>
      <c r="C9" s="6"/>
      <c r="D9" s="6"/>
      <c r="E9" s="6"/>
      <c r="F9" s="6" t="s">
        <v>13</v>
      </c>
      <c r="G9" s="6" t="s">
        <v>14</v>
      </c>
      <c r="H9" s="6" t="s">
        <v>14</v>
      </c>
      <c r="I9" s="7" t="s">
        <v>21</v>
      </c>
      <c r="J9" s="7" t="s">
        <v>42</v>
      </c>
      <c r="K9" s="7" t="s">
        <v>43</v>
      </c>
      <c r="L9" s="6" t="s">
        <v>24</v>
      </c>
      <c r="M9" s="8"/>
      <c r="N9" s="6"/>
      <c r="O9" s="6"/>
      <c r="P9" s="6"/>
      <c r="Q9" s="6"/>
      <c r="R9" s="6"/>
      <c r="S9" s="6"/>
      <c r="T9" s="6"/>
      <c r="U9" s="6"/>
      <c r="V9" s="6"/>
      <c r="W9" s="6"/>
      <c r="X9" s="6"/>
      <c r="Y9" s="6"/>
      <c r="Z9" s="6"/>
    </row>
    <row r="10" spans="1:26" ht="16" x14ac:dyDescent="0.2">
      <c r="A10" s="6" t="s">
        <v>44</v>
      </c>
      <c r="B10" s="6">
        <v>70</v>
      </c>
      <c r="C10" s="6" t="s">
        <v>45</v>
      </c>
      <c r="D10" s="6">
        <v>1</v>
      </c>
      <c r="E10" s="6"/>
      <c r="F10" s="6">
        <v>26</v>
      </c>
      <c r="G10" s="6">
        <v>16</v>
      </c>
      <c r="H10" s="6" t="s">
        <v>14</v>
      </c>
      <c r="I10" s="7" t="s">
        <v>21</v>
      </c>
      <c r="J10" s="7" t="s">
        <v>46</v>
      </c>
      <c r="K10" s="7" t="s">
        <v>47</v>
      </c>
      <c r="L10" s="6" t="s">
        <v>24</v>
      </c>
      <c r="M10" s="8"/>
      <c r="N10" s="6"/>
      <c r="O10" s="6"/>
      <c r="P10" s="6"/>
      <c r="Q10" s="6"/>
      <c r="R10" s="6"/>
      <c r="S10" s="6"/>
      <c r="T10" s="6"/>
      <c r="U10" s="6"/>
      <c r="V10" s="6"/>
      <c r="W10" s="6"/>
      <c r="X10" s="6"/>
      <c r="Y10" s="6"/>
      <c r="Z10" s="6"/>
    </row>
    <row r="11" spans="1:26" ht="16" x14ac:dyDescent="0.2">
      <c r="A11" s="6" t="s">
        <v>48</v>
      </c>
      <c r="B11" s="6"/>
      <c r="C11" s="6"/>
      <c r="D11" s="6"/>
      <c r="E11" s="6"/>
      <c r="F11" s="6" t="e">
        <v>#VALUE!</v>
      </c>
      <c r="G11" s="6">
        <v>24</v>
      </c>
      <c r="H11" s="6" t="s">
        <v>14</v>
      </c>
      <c r="I11" s="7" t="s">
        <v>15</v>
      </c>
      <c r="J11" s="7" t="s">
        <v>49</v>
      </c>
      <c r="K11" s="7" t="s">
        <v>50</v>
      </c>
      <c r="L11" s="6" t="s">
        <v>24</v>
      </c>
      <c r="M11" s="8"/>
      <c r="N11" s="6"/>
      <c r="O11" s="6"/>
      <c r="P11" s="6"/>
      <c r="Q11" s="6"/>
      <c r="R11" s="6"/>
      <c r="S11" s="6"/>
      <c r="T11" s="6"/>
      <c r="U11" s="6"/>
      <c r="V11" s="6"/>
      <c r="W11" s="6"/>
      <c r="X11" s="6"/>
      <c r="Y11" s="6"/>
      <c r="Z11" s="6"/>
    </row>
    <row r="12" spans="1:26" ht="16" x14ac:dyDescent="0.2">
      <c r="A12" s="6" t="s">
        <v>51</v>
      </c>
      <c r="B12" s="6"/>
      <c r="C12" s="6"/>
      <c r="D12" s="6"/>
      <c r="E12" s="6"/>
      <c r="F12" s="6" t="s">
        <v>13</v>
      </c>
      <c r="G12" s="6" t="s">
        <v>14</v>
      </c>
      <c r="H12" s="6" t="s">
        <v>14</v>
      </c>
      <c r="I12" s="7" t="s">
        <v>52</v>
      </c>
      <c r="J12" s="7" t="s">
        <v>53</v>
      </c>
      <c r="K12" s="7" t="s">
        <v>54</v>
      </c>
      <c r="L12" s="6" t="s">
        <v>24</v>
      </c>
      <c r="M12" s="8"/>
      <c r="N12" s="6"/>
      <c r="O12" s="6"/>
      <c r="P12" s="6"/>
      <c r="Q12" s="6"/>
      <c r="R12" s="6"/>
      <c r="S12" s="6"/>
      <c r="T12" s="6"/>
      <c r="U12" s="6"/>
      <c r="V12" s="6"/>
      <c r="W12" s="6"/>
      <c r="X12" s="6"/>
      <c r="Y12" s="6"/>
      <c r="Z12" s="6"/>
    </row>
    <row r="13" spans="1:26" ht="16" x14ac:dyDescent="0.2">
      <c r="A13" s="6" t="s">
        <v>55</v>
      </c>
      <c r="B13" s="6"/>
      <c r="C13" s="6"/>
      <c r="D13" s="6"/>
      <c r="E13" s="6"/>
      <c r="F13" s="6">
        <v>24</v>
      </c>
      <c r="G13" s="6" t="s">
        <v>35</v>
      </c>
      <c r="H13" s="6" t="s">
        <v>14</v>
      </c>
      <c r="I13" s="7" t="s">
        <v>15</v>
      </c>
      <c r="J13" s="7" t="s">
        <v>56</v>
      </c>
      <c r="K13" s="7" t="s">
        <v>57</v>
      </c>
      <c r="L13" s="6" t="s">
        <v>24</v>
      </c>
      <c r="M13" s="8"/>
      <c r="N13" s="6"/>
      <c r="O13" s="6"/>
      <c r="P13" s="6"/>
      <c r="Q13" s="6"/>
      <c r="R13" s="6"/>
      <c r="S13" s="6"/>
      <c r="T13" s="6"/>
      <c r="U13" s="6"/>
      <c r="V13" s="6"/>
      <c r="W13" s="6"/>
      <c r="X13" s="6"/>
      <c r="Y13" s="6"/>
      <c r="Z13" s="6"/>
    </row>
    <row r="14" spans="1:26" ht="16" x14ac:dyDescent="0.2">
      <c r="A14" s="6" t="s">
        <v>58</v>
      </c>
      <c r="B14" s="6"/>
      <c r="C14" s="6"/>
      <c r="D14" s="6">
        <v>2</v>
      </c>
      <c r="E14" s="6"/>
      <c r="F14" s="6" t="s">
        <v>13</v>
      </c>
      <c r="G14" s="6"/>
      <c r="H14" s="6"/>
      <c r="I14" s="7" t="s">
        <v>15</v>
      </c>
      <c r="J14" s="7" t="s">
        <v>59</v>
      </c>
      <c r="K14" s="7" t="s">
        <v>60</v>
      </c>
      <c r="L14" s="6" t="s">
        <v>24</v>
      </c>
      <c r="M14" s="8"/>
      <c r="N14" s="6"/>
      <c r="O14" s="6"/>
      <c r="P14" s="6"/>
      <c r="Q14" s="6"/>
      <c r="R14" s="6"/>
      <c r="S14" s="6"/>
      <c r="T14" s="6"/>
      <c r="U14" s="6"/>
      <c r="V14" s="6"/>
      <c r="W14" s="6"/>
      <c r="X14" s="6"/>
      <c r="Y14" s="6"/>
      <c r="Z14" s="6"/>
    </row>
    <row r="15" spans="1:26" ht="16" x14ac:dyDescent="0.2">
      <c r="A15" s="6" t="s">
        <v>61</v>
      </c>
      <c r="B15" s="6"/>
      <c r="C15" s="6"/>
      <c r="D15" s="6"/>
      <c r="E15" s="6"/>
      <c r="F15" s="6">
        <v>25</v>
      </c>
      <c r="G15" s="6">
        <v>21</v>
      </c>
      <c r="H15" s="6" t="s">
        <v>14</v>
      </c>
      <c r="I15" s="7" t="s">
        <v>15</v>
      </c>
      <c r="J15" s="7" t="s">
        <v>62</v>
      </c>
      <c r="K15" s="7" t="s">
        <v>63</v>
      </c>
      <c r="L15" s="6" t="s">
        <v>24</v>
      </c>
      <c r="M15" s="8"/>
      <c r="N15" s="6"/>
      <c r="O15" s="6"/>
      <c r="P15" s="6"/>
      <c r="Q15" s="6"/>
      <c r="R15" s="6"/>
      <c r="S15" s="6"/>
      <c r="T15" s="6"/>
      <c r="U15" s="6"/>
      <c r="V15" s="6"/>
      <c r="W15" s="6"/>
      <c r="X15" s="6"/>
      <c r="Y15" s="6"/>
      <c r="Z15" s="6"/>
    </row>
    <row r="16" spans="1:26" ht="16" x14ac:dyDescent="0.2">
      <c r="A16" s="6" t="s">
        <v>64</v>
      </c>
      <c r="B16" s="6">
        <v>63</v>
      </c>
      <c r="C16" s="6" t="s">
        <v>65</v>
      </c>
      <c r="D16" s="6">
        <v>3</v>
      </c>
      <c r="E16" s="6"/>
      <c r="F16" s="6">
        <v>11</v>
      </c>
      <c r="G16" s="6">
        <v>4</v>
      </c>
      <c r="H16" s="6" t="s">
        <v>14</v>
      </c>
      <c r="I16" s="7" t="s">
        <v>52</v>
      </c>
      <c r="J16" s="7" t="s">
        <v>66</v>
      </c>
      <c r="K16" s="7" t="s">
        <v>67</v>
      </c>
      <c r="L16" s="6" t="s">
        <v>24</v>
      </c>
      <c r="M16" s="8"/>
      <c r="N16" s="6"/>
      <c r="O16" s="6"/>
      <c r="P16" s="6"/>
      <c r="Q16" s="6"/>
      <c r="R16" s="6"/>
      <c r="S16" s="6"/>
      <c r="T16" s="6"/>
      <c r="U16" s="6"/>
      <c r="V16" s="6"/>
      <c r="W16" s="6"/>
      <c r="X16" s="6"/>
      <c r="Y16" s="6"/>
      <c r="Z16" s="6"/>
    </row>
    <row r="17" spans="1:26" ht="16" x14ac:dyDescent="0.2">
      <c r="A17" s="6" t="s">
        <v>68</v>
      </c>
      <c r="B17" s="6"/>
      <c r="C17" s="6"/>
      <c r="D17" s="6"/>
      <c r="E17" s="6"/>
      <c r="F17" s="6" t="s">
        <v>13</v>
      </c>
      <c r="G17" s="6">
        <v>1</v>
      </c>
      <c r="H17" s="6" t="s">
        <v>14</v>
      </c>
      <c r="I17" s="7"/>
      <c r="J17" s="7"/>
      <c r="K17" s="7" t="s">
        <v>69</v>
      </c>
      <c r="L17" s="6" t="s">
        <v>24</v>
      </c>
      <c r="M17" s="8"/>
      <c r="N17" s="6"/>
      <c r="O17" s="6"/>
      <c r="P17" s="6"/>
      <c r="Q17" s="6"/>
      <c r="R17" s="6"/>
      <c r="S17" s="6"/>
      <c r="T17" s="6"/>
      <c r="U17" s="6"/>
      <c r="V17" s="6"/>
      <c r="W17" s="6"/>
      <c r="X17" s="6"/>
      <c r="Y17" s="6"/>
      <c r="Z17" s="6"/>
    </row>
    <row r="18" spans="1:26" ht="16" x14ac:dyDescent="0.2">
      <c r="A18" s="6" t="s">
        <v>70</v>
      </c>
      <c r="B18" s="6"/>
      <c r="C18" s="6"/>
      <c r="D18" s="6"/>
      <c r="E18" s="6"/>
      <c r="F18" s="6">
        <v>26</v>
      </c>
      <c r="G18" s="6">
        <v>21</v>
      </c>
      <c r="H18" s="6" t="s">
        <v>14</v>
      </c>
      <c r="I18" s="7" t="s">
        <v>15</v>
      </c>
      <c r="J18" s="7" t="s">
        <v>71</v>
      </c>
      <c r="K18" s="7" t="s">
        <v>72</v>
      </c>
      <c r="L18" s="6" t="s">
        <v>24</v>
      </c>
      <c r="M18" s="8"/>
      <c r="N18" s="6"/>
      <c r="O18" s="6"/>
      <c r="P18" s="6"/>
      <c r="Q18" s="6"/>
      <c r="R18" s="6"/>
      <c r="S18" s="6"/>
      <c r="T18" s="6"/>
      <c r="U18" s="6"/>
      <c r="V18" s="6"/>
      <c r="W18" s="6"/>
      <c r="X18" s="6"/>
      <c r="Y18" s="6"/>
      <c r="Z18" s="6"/>
    </row>
    <row r="19" spans="1:26" ht="16" x14ac:dyDescent="0.2">
      <c r="A19" s="6" t="s">
        <v>73</v>
      </c>
      <c r="B19" s="6"/>
      <c r="C19" s="6"/>
      <c r="D19" s="6"/>
      <c r="E19" s="6"/>
      <c r="F19" s="6" t="s">
        <v>14</v>
      </c>
      <c r="G19" s="6" t="s">
        <v>35</v>
      </c>
      <c r="H19" s="6" t="s">
        <v>14</v>
      </c>
      <c r="I19" s="9" t="s">
        <v>15</v>
      </c>
      <c r="J19" s="7" t="s">
        <v>74</v>
      </c>
      <c r="K19" s="7" t="s">
        <v>75</v>
      </c>
      <c r="L19" s="6" t="s">
        <v>24</v>
      </c>
      <c r="M19" s="8"/>
      <c r="N19" s="6"/>
      <c r="O19" s="6"/>
      <c r="P19" s="6"/>
      <c r="Q19" s="6"/>
      <c r="R19" s="6"/>
      <c r="S19" s="6"/>
      <c r="T19" s="6"/>
      <c r="U19" s="6"/>
      <c r="V19" s="6"/>
      <c r="W19" s="6"/>
      <c r="X19" s="6"/>
      <c r="Y19" s="6"/>
      <c r="Z19" s="6"/>
    </row>
    <row r="20" spans="1:26" ht="16" x14ac:dyDescent="0.2">
      <c r="A20" s="6" t="s">
        <v>76</v>
      </c>
      <c r="B20" s="6">
        <v>67</v>
      </c>
      <c r="C20" s="6"/>
      <c r="D20" s="6">
        <v>3</v>
      </c>
      <c r="E20" s="6"/>
      <c r="F20" s="10">
        <v>43777</v>
      </c>
      <c r="G20" s="6">
        <v>2</v>
      </c>
      <c r="H20" s="6" t="s">
        <v>14</v>
      </c>
      <c r="I20" s="7" t="s">
        <v>15</v>
      </c>
      <c r="J20" s="7" t="s">
        <v>77</v>
      </c>
      <c r="K20" s="7" t="s">
        <v>78</v>
      </c>
      <c r="L20" s="6" t="s">
        <v>24</v>
      </c>
      <c r="M20" s="8"/>
      <c r="N20" s="6"/>
      <c r="O20" s="6"/>
      <c r="P20" s="6"/>
      <c r="Q20" s="6"/>
      <c r="R20" s="6"/>
      <c r="S20" s="6"/>
      <c r="T20" s="6"/>
      <c r="U20" s="6"/>
      <c r="V20" s="6"/>
      <c r="W20" s="6"/>
      <c r="X20" s="6"/>
      <c r="Y20" s="6"/>
      <c r="Z20" s="6"/>
    </row>
    <row r="21" spans="1:26" ht="15.75" customHeight="1" x14ac:dyDescent="0.2">
      <c r="A21" s="6" t="s">
        <v>79</v>
      </c>
      <c r="B21" s="6">
        <v>70</v>
      </c>
      <c r="C21" s="6"/>
      <c r="D21" s="6">
        <v>1</v>
      </c>
      <c r="E21" s="6"/>
      <c r="F21" s="6">
        <v>25</v>
      </c>
      <c r="G21" s="6" t="s">
        <v>35</v>
      </c>
      <c r="H21" s="6" t="s">
        <v>14</v>
      </c>
      <c r="I21" s="7" t="s">
        <v>15</v>
      </c>
      <c r="J21" s="7" t="s">
        <v>80</v>
      </c>
      <c r="K21" s="7" t="s">
        <v>81</v>
      </c>
      <c r="L21" s="6" t="s">
        <v>24</v>
      </c>
      <c r="M21" s="8"/>
      <c r="N21" s="6"/>
      <c r="O21" s="6"/>
      <c r="P21" s="6"/>
      <c r="Q21" s="6"/>
      <c r="R21" s="6"/>
      <c r="S21" s="6"/>
      <c r="T21" s="6"/>
      <c r="U21" s="6"/>
      <c r="V21" s="6"/>
      <c r="W21" s="6"/>
      <c r="X21" s="6"/>
      <c r="Y21" s="6"/>
      <c r="Z21" s="6"/>
    </row>
    <row r="22" spans="1:26" ht="15.75" customHeight="1" x14ac:dyDescent="0.2">
      <c r="A22" s="6" t="s">
        <v>82</v>
      </c>
      <c r="B22" s="6">
        <v>73</v>
      </c>
      <c r="C22" s="6"/>
      <c r="D22" s="6">
        <v>2</v>
      </c>
      <c r="E22" s="6"/>
      <c r="F22" s="6">
        <v>15</v>
      </c>
      <c r="G22" s="6" t="s">
        <v>35</v>
      </c>
      <c r="H22" s="6" t="s">
        <v>14</v>
      </c>
      <c r="I22" s="7" t="s">
        <v>21</v>
      </c>
      <c r="J22" s="7" t="s">
        <v>83</v>
      </c>
      <c r="K22" s="7" t="s">
        <v>84</v>
      </c>
      <c r="L22" s="6" t="s">
        <v>24</v>
      </c>
      <c r="M22" s="8"/>
      <c r="N22" s="6"/>
      <c r="O22" s="6"/>
      <c r="P22" s="6"/>
      <c r="Q22" s="6"/>
      <c r="R22" s="6"/>
      <c r="S22" s="6"/>
      <c r="T22" s="6"/>
      <c r="U22" s="6"/>
      <c r="V22" s="6"/>
      <c r="W22" s="6"/>
      <c r="X22" s="6"/>
      <c r="Y22" s="6"/>
      <c r="Z22" s="6"/>
    </row>
    <row r="23" spans="1:26" ht="15.75" customHeight="1" x14ac:dyDescent="0.2">
      <c r="A23" s="6" t="s">
        <v>85</v>
      </c>
      <c r="B23" s="6"/>
      <c r="C23" s="6"/>
      <c r="D23" s="6"/>
      <c r="E23" s="6"/>
      <c r="F23" s="6">
        <v>25</v>
      </c>
      <c r="G23" s="6" t="s">
        <v>35</v>
      </c>
      <c r="H23" s="6" t="s">
        <v>14</v>
      </c>
      <c r="I23" s="7" t="s">
        <v>21</v>
      </c>
      <c r="J23" s="7" t="s">
        <v>86</v>
      </c>
      <c r="K23" s="7" t="s">
        <v>87</v>
      </c>
      <c r="L23" s="6" t="s">
        <v>24</v>
      </c>
      <c r="M23" s="8"/>
      <c r="N23" s="6"/>
      <c r="O23" s="6"/>
      <c r="P23" s="6"/>
      <c r="Q23" s="6"/>
      <c r="R23" s="6"/>
      <c r="S23" s="6"/>
      <c r="T23" s="6"/>
      <c r="U23" s="6"/>
      <c r="V23" s="6"/>
      <c r="W23" s="6"/>
      <c r="X23" s="6"/>
      <c r="Y23" s="6"/>
      <c r="Z23" s="6"/>
    </row>
    <row r="24" spans="1:26" ht="15.75" customHeight="1" x14ac:dyDescent="0.2">
      <c r="A24" s="6" t="s">
        <v>88</v>
      </c>
      <c r="B24" s="6"/>
      <c r="C24" s="6"/>
      <c r="D24" s="6"/>
      <c r="E24" s="6"/>
      <c r="F24" s="6">
        <v>22</v>
      </c>
      <c r="G24" s="6" t="s">
        <v>35</v>
      </c>
      <c r="H24" s="6" t="s">
        <v>14</v>
      </c>
      <c r="I24" s="7" t="s">
        <v>21</v>
      </c>
      <c r="J24" s="7" t="s">
        <v>89</v>
      </c>
      <c r="K24" s="7" t="s">
        <v>90</v>
      </c>
      <c r="L24" s="6" t="s">
        <v>24</v>
      </c>
      <c r="M24" s="8"/>
      <c r="N24" s="6"/>
      <c r="O24" s="6"/>
      <c r="P24" s="6"/>
      <c r="Q24" s="6"/>
      <c r="R24" s="6"/>
      <c r="S24" s="6"/>
      <c r="T24" s="6"/>
      <c r="U24" s="6"/>
      <c r="V24" s="6"/>
      <c r="W24" s="6"/>
      <c r="X24" s="6"/>
      <c r="Y24" s="6"/>
      <c r="Z24" s="6"/>
    </row>
    <row r="25" spans="1:26" ht="15.75" customHeight="1" x14ac:dyDescent="0.2">
      <c r="M25" s="39"/>
    </row>
    <row r="26" spans="1:26" ht="15.75" customHeight="1" x14ac:dyDescent="0.2">
      <c r="M26" s="39"/>
    </row>
    <row r="27" spans="1:26" ht="15.75" customHeight="1" x14ac:dyDescent="0.2">
      <c r="M27" s="39"/>
    </row>
    <row r="28" spans="1:26" ht="15.75" customHeight="1" x14ac:dyDescent="0.2">
      <c r="M28" s="39"/>
    </row>
    <row r="29" spans="1:26" ht="15.75" customHeight="1" x14ac:dyDescent="0.2">
      <c r="M29" s="39"/>
    </row>
    <row r="30" spans="1:26" ht="15.75" customHeight="1" x14ac:dyDescent="0.2">
      <c r="M30" s="39"/>
    </row>
    <row r="31" spans="1:26" ht="15.75" customHeight="1" x14ac:dyDescent="0.2">
      <c r="M31" s="39"/>
    </row>
    <row r="32" spans="1:26" ht="15.75" customHeight="1" x14ac:dyDescent="0.2">
      <c r="M32" s="39"/>
    </row>
    <row r="33" spans="13:13" ht="15.75" customHeight="1" x14ac:dyDescent="0.2">
      <c r="M33" s="39"/>
    </row>
    <row r="34" spans="13:13" ht="15.75" customHeight="1" x14ac:dyDescent="0.2">
      <c r="M34" s="39"/>
    </row>
    <row r="35" spans="13:13" ht="15.75" customHeight="1" x14ac:dyDescent="0.2">
      <c r="M35" s="39"/>
    </row>
    <row r="36" spans="13:13" ht="15.75" customHeight="1" x14ac:dyDescent="0.2">
      <c r="M36" s="39"/>
    </row>
    <row r="37" spans="13:13" ht="15.75" customHeight="1" x14ac:dyDescent="0.2">
      <c r="M37" s="39"/>
    </row>
    <row r="38" spans="13:13" ht="15.75" customHeight="1" x14ac:dyDescent="0.2">
      <c r="M38" s="39"/>
    </row>
    <row r="39" spans="13:13" ht="15.75" customHeight="1" x14ac:dyDescent="0.2">
      <c r="M39" s="39"/>
    </row>
    <row r="40" spans="13:13" ht="15.75" customHeight="1" x14ac:dyDescent="0.2">
      <c r="M40" s="39"/>
    </row>
    <row r="41" spans="13:13" ht="15.75" customHeight="1" x14ac:dyDescent="0.2">
      <c r="M41" s="39"/>
    </row>
    <row r="42" spans="13:13" ht="15.75" customHeight="1" x14ac:dyDescent="0.2">
      <c r="M42" s="39"/>
    </row>
    <row r="43" spans="13:13" ht="15.75" customHeight="1" x14ac:dyDescent="0.2">
      <c r="M43" s="39"/>
    </row>
    <row r="44" spans="13:13" ht="15.75" customHeight="1" x14ac:dyDescent="0.2">
      <c r="M44" s="39"/>
    </row>
    <row r="45" spans="13:13" ht="15.75" customHeight="1" x14ac:dyDescent="0.2">
      <c r="M45" s="39"/>
    </row>
    <row r="46" spans="13:13" ht="15.75" customHeight="1" x14ac:dyDescent="0.2">
      <c r="M46" s="39"/>
    </row>
    <row r="47" spans="13:13" ht="15.75" customHeight="1" x14ac:dyDescent="0.2">
      <c r="M47" s="39"/>
    </row>
    <row r="48" spans="13:13" ht="15.75" customHeight="1" x14ac:dyDescent="0.2">
      <c r="M48" s="39"/>
    </row>
    <row r="49" spans="13:13" ht="15.75" customHeight="1" x14ac:dyDescent="0.2">
      <c r="M49" s="39"/>
    </row>
    <row r="50" spans="13:13" ht="15.75" customHeight="1" x14ac:dyDescent="0.2">
      <c r="M50" s="39"/>
    </row>
    <row r="51" spans="13:13" ht="15.75" customHeight="1" x14ac:dyDescent="0.2">
      <c r="M51" s="11"/>
    </row>
    <row r="52" spans="13:13" ht="15.75" customHeight="1" x14ac:dyDescent="0.2">
      <c r="M52" s="11"/>
    </row>
    <row r="53" spans="13:13" ht="15.75" customHeight="1" x14ac:dyDescent="0.2">
      <c r="M53" s="11"/>
    </row>
    <row r="54" spans="13:13" ht="15.75" customHeight="1" x14ac:dyDescent="0.2">
      <c r="M54" s="11"/>
    </row>
    <row r="55" spans="13:13" ht="15.75" customHeight="1" x14ac:dyDescent="0.2">
      <c r="M55" s="11"/>
    </row>
    <row r="56" spans="13:13" ht="15.75" customHeight="1" x14ac:dyDescent="0.2">
      <c r="M56" s="11"/>
    </row>
    <row r="57" spans="13:13" ht="15.75" customHeight="1" x14ac:dyDescent="0.2">
      <c r="M57" s="11"/>
    </row>
    <row r="58" spans="13:13" ht="15.75" customHeight="1" x14ac:dyDescent="0.2">
      <c r="M58" s="11"/>
    </row>
    <row r="59" spans="13:13" ht="15.75" customHeight="1" x14ac:dyDescent="0.2">
      <c r="M59" s="11"/>
    </row>
    <row r="60" spans="13:13" ht="15.75" customHeight="1" x14ac:dyDescent="0.2">
      <c r="M60" s="11"/>
    </row>
    <row r="61" spans="13:13" ht="15.75" customHeight="1" x14ac:dyDescent="0.2">
      <c r="M61" s="11"/>
    </row>
    <row r="62" spans="13:13" ht="15.75" customHeight="1" x14ac:dyDescent="0.2">
      <c r="M62" s="11"/>
    </row>
    <row r="63" spans="13:13" ht="15.75" customHeight="1" x14ac:dyDescent="0.2">
      <c r="M63" s="11"/>
    </row>
    <row r="64" spans="13:13" ht="15.75" customHeight="1" x14ac:dyDescent="0.2">
      <c r="M64" s="11"/>
    </row>
    <row r="65" spans="13:13" ht="15.75" customHeight="1" x14ac:dyDescent="0.2">
      <c r="M65" s="11"/>
    </row>
    <row r="66" spans="13:13" ht="15.75" customHeight="1" x14ac:dyDescent="0.2">
      <c r="M66" s="11"/>
    </row>
    <row r="67" spans="13:13" ht="15.75" customHeight="1" x14ac:dyDescent="0.2">
      <c r="M67" s="11"/>
    </row>
    <row r="68" spans="13:13" ht="15.75" customHeight="1" x14ac:dyDescent="0.2">
      <c r="M68" s="11"/>
    </row>
    <row r="69" spans="13:13" ht="15.75" customHeight="1" x14ac:dyDescent="0.2">
      <c r="M69" s="11"/>
    </row>
    <row r="70" spans="13:13" ht="15.75" customHeight="1" x14ac:dyDescent="0.2">
      <c r="M70" s="11"/>
    </row>
    <row r="71" spans="13:13" ht="15.75" customHeight="1" x14ac:dyDescent="0.2">
      <c r="M71" s="11"/>
    </row>
    <row r="72" spans="13:13" ht="15.75" customHeight="1" x14ac:dyDescent="0.2">
      <c r="M72" s="11"/>
    </row>
    <row r="73" spans="13:13" ht="15.75" customHeight="1" x14ac:dyDescent="0.2">
      <c r="M73" s="11"/>
    </row>
    <row r="74" spans="13:13" ht="15.75" customHeight="1" x14ac:dyDescent="0.2">
      <c r="M74" s="11"/>
    </row>
    <row r="75" spans="13:13" ht="15.75" customHeight="1" x14ac:dyDescent="0.2">
      <c r="M75" s="11"/>
    </row>
    <row r="76" spans="13:13" ht="15.75" customHeight="1" x14ac:dyDescent="0.2">
      <c r="M76" s="11"/>
    </row>
    <row r="77" spans="13:13" ht="15.75" customHeight="1" x14ac:dyDescent="0.2">
      <c r="M77" s="11"/>
    </row>
    <row r="78" spans="13:13" ht="15.75" customHeight="1" x14ac:dyDescent="0.2">
      <c r="M78" s="11"/>
    </row>
    <row r="79" spans="13:13" ht="15.75" customHeight="1" x14ac:dyDescent="0.2">
      <c r="M79" s="11"/>
    </row>
    <row r="80" spans="13:13" ht="15.75" customHeight="1" x14ac:dyDescent="0.2">
      <c r="M80" s="11"/>
    </row>
    <row r="81" spans="13:13" ht="15.75" customHeight="1" x14ac:dyDescent="0.2">
      <c r="M81" s="11"/>
    </row>
    <row r="82" spans="13:13" ht="15.75" customHeight="1" x14ac:dyDescent="0.2">
      <c r="M82" s="11"/>
    </row>
    <row r="83" spans="13:13" ht="15.75" customHeight="1" x14ac:dyDescent="0.2">
      <c r="M83" s="11"/>
    </row>
    <row r="84" spans="13:13" ht="15.75" customHeight="1" x14ac:dyDescent="0.2">
      <c r="M84" s="11"/>
    </row>
    <row r="85" spans="13:13" ht="15.75" customHeight="1" x14ac:dyDescent="0.2">
      <c r="M85" s="11"/>
    </row>
    <row r="86" spans="13:13" ht="15.75" customHeight="1" x14ac:dyDescent="0.2">
      <c r="M86" s="11"/>
    </row>
    <row r="87" spans="13:13" ht="15.75" customHeight="1" x14ac:dyDescent="0.2">
      <c r="M87" s="11"/>
    </row>
    <row r="88" spans="13:13" ht="15.75" customHeight="1" x14ac:dyDescent="0.2">
      <c r="M88" s="11"/>
    </row>
    <row r="89" spans="13:13" ht="15.75" customHeight="1" x14ac:dyDescent="0.2">
      <c r="M89" s="11"/>
    </row>
    <row r="90" spans="13:13" ht="15.75" customHeight="1" x14ac:dyDescent="0.2">
      <c r="M90" s="11"/>
    </row>
    <row r="91" spans="13:13" ht="15.75" customHeight="1" x14ac:dyDescent="0.2">
      <c r="M91" s="11"/>
    </row>
    <row r="92" spans="13:13" ht="15.75" customHeight="1" x14ac:dyDescent="0.2">
      <c r="M92" s="11"/>
    </row>
    <row r="93" spans="13:13" ht="15.75" customHeight="1" x14ac:dyDescent="0.2">
      <c r="M93" s="11"/>
    </row>
    <row r="94" spans="13:13" ht="15.75" customHeight="1" x14ac:dyDescent="0.2">
      <c r="M94" s="11"/>
    </row>
    <row r="95" spans="13:13" ht="15.75" customHeight="1" x14ac:dyDescent="0.2">
      <c r="M95" s="11"/>
    </row>
    <row r="96" spans="13:13" ht="15.75" customHeight="1" x14ac:dyDescent="0.2">
      <c r="M96" s="11"/>
    </row>
    <row r="97" spans="13:13" ht="15.75" customHeight="1" x14ac:dyDescent="0.2">
      <c r="M97" s="11"/>
    </row>
    <row r="98" spans="13:13" ht="15.75" customHeight="1" x14ac:dyDescent="0.2">
      <c r="M98" s="11"/>
    </row>
    <row r="99" spans="13:13" ht="15.75" customHeight="1" x14ac:dyDescent="0.2">
      <c r="M99" s="11"/>
    </row>
    <row r="100" spans="13:13" ht="15.75" customHeight="1" x14ac:dyDescent="0.2">
      <c r="M100" s="11"/>
    </row>
    <row r="101" spans="13:13" ht="15.75" customHeight="1" x14ac:dyDescent="0.2">
      <c r="M101" s="11"/>
    </row>
    <row r="102" spans="13:13" ht="15.75" customHeight="1" x14ac:dyDescent="0.2">
      <c r="M102" s="11"/>
    </row>
    <row r="103" spans="13:13" ht="15.75" customHeight="1" x14ac:dyDescent="0.2">
      <c r="M103" s="11"/>
    </row>
    <row r="104" spans="13:13" ht="15.75" customHeight="1" x14ac:dyDescent="0.2">
      <c r="M104" s="11"/>
    </row>
    <row r="105" spans="13:13" ht="15.75" customHeight="1" x14ac:dyDescent="0.2">
      <c r="M105" s="11"/>
    </row>
    <row r="106" spans="13:13" ht="15.75" customHeight="1" x14ac:dyDescent="0.2">
      <c r="M106" s="11"/>
    </row>
    <row r="107" spans="13:13" ht="15.75" customHeight="1" x14ac:dyDescent="0.2">
      <c r="M107" s="11"/>
    </row>
    <row r="108" spans="13:13" ht="15.75" customHeight="1" x14ac:dyDescent="0.2">
      <c r="M108" s="11"/>
    </row>
    <row r="109" spans="13:13" ht="15.75" customHeight="1" x14ac:dyDescent="0.2">
      <c r="M109" s="11"/>
    </row>
    <row r="110" spans="13:13" ht="15.75" customHeight="1" x14ac:dyDescent="0.2">
      <c r="M110" s="11"/>
    </row>
    <row r="111" spans="13:13" ht="15.75" customHeight="1" x14ac:dyDescent="0.2">
      <c r="M111" s="11"/>
    </row>
    <row r="112" spans="13:13" ht="15.75" customHeight="1" x14ac:dyDescent="0.2">
      <c r="M112" s="11"/>
    </row>
    <row r="113" spans="13:13" ht="15.75" customHeight="1" x14ac:dyDescent="0.2">
      <c r="M113" s="11"/>
    </row>
    <row r="114" spans="13:13" ht="15.75" customHeight="1" x14ac:dyDescent="0.2">
      <c r="M114" s="11"/>
    </row>
    <row r="115" spans="13:13" ht="15.75" customHeight="1" x14ac:dyDescent="0.2">
      <c r="M115" s="11"/>
    </row>
    <row r="116" spans="13:13" ht="15.75" customHeight="1" x14ac:dyDescent="0.2">
      <c r="M116" s="11"/>
    </row>
    <row r="117" spans="13:13" ht="15.75" customHeight="1" x14ac:dyDescent="0.2">
      <c r="M117" s="11"/>
    </row>
    <row r="118" spans="13:13" ht="15.75" customHeight="1" x14ac:dyDescent="0.2">
      <c r="M118" s="11"/>
    </row>
    <row r="119" spans="13:13" ht="15.75" customHeight="1" x14ac:dyDescent="0.2">
      <c r="M119" s="11"/>
    </row>
    <row r="120" spans="13:13" ht="15.75" customHeight="1" x14ac:dyDescent="0.2">
      <c r="M120" s="11"/>
    </row>
    <row r="121" spans="13:13" ht="15.75" customHeight="1" x14ac:dyDescent="0.2">
      <c r="M121" s="11"/>
    </row>
    <row r="122" spans="13:13" ht="15.75" customHeight="1" x14ac:dyDescent="0.2">
      <c r="M122" s="11"/>
    </row>
    <row r="123" spans="13:13" ht="15.75" customHeight="1" x14ac:dyDescent="0.2">
      <c r="M123" s="11"/>
    </row>
    <row r="124" spans="13:13" ht="15.75" customHeight="1" x14ac:dyDescent="0.2">
      <c r="M124" s="11"/>
    </row>
    <row r="125" spans="13:13" ht="15.75" customHeight="1" x14ac:dyDescent="0.2">
      <c r="M125" s="11"/>
    </row>
    <row r="126" spans="13:13" ht="15.75" customHeight="1" x14ac:dyDescent="0.2">
      <c r="M126" s="11"/>
    </row>
    <row r="127" spans="13:13" ht="15.75" customHeight="1" x14ac:dyDescent="0.2">
      <c r="M127" s="11"/>
    </row>
    <row r="128" spans="13:13" ht="15.75" customHeight="1" x14ac:dyDescent="0.2">
      <c r="M128" s="11"/>
    </row>
    <row r="129" spans="13:13" ht="15.75" customHeight="1" x14ac:dyDescent="0.2">
      <c r="M129" s="11"/>
    </row>
    <row r="130" spans="13:13" ht="15.75" customHeight="1" x14ac:dyDescent="0.2">
      <c r="M130" s="11"/>
    </row>
    <row r="131" spans="13:13" ht="15.75" customHeight="1" x14ac:dyDescent="0.2">
      <c r="M131" s="11"/>
    </row>
    <row r="132" spans="13:13" ht="15.75" customHeight="1" x14ac:dyDescent="0.2">
      <c r="M132" s="11"/>
    </row>
    <row r="133" spans="13:13" ht="15.75" customHeight="1" x14ac:dyDescent="0.2">
      <c r="M133" s="11"/>
    </row>
    <row r="134" spans="13:13" ht="15.75" customHeight="1" x14ac:dyDescent="0.2">
      <c r="M134" s="11"/>
    </row>
    <row r="135" spans="13:13" ht="15.75" customHeight="1" x14ac:dyDescent="0.2">
      <c r="M135" s="11"/>
    </row>
    <row r="136" spans="13:13" ht="15.75" customHeight="1" x14ac:dyDescent="0.2">
      <c r="M136" s="11"/>
    </row>
    <row r="137" spans="13:13" ht="15.75" customHeight="1" x14ac:dyDescent="0.2">
      <c r="M137" s="11"/>
    </row>
    <row r="138" spans="13:13" ht="15.75" customHeight="1" x14ac:dyDescent="0.2">
      <c r="M138" s="11"/>
    </row>
    <row r="139" spans="13:13" ht="15.75" customHeight="1" x14ac:dyDescent="0.2">
      <c r="M139" s="11"/>
    </row>
    <row r="140" spans="13:13" ht="15.75" customHeight="1" x14ac:dyDescent="0.2">
      <c r="M140" s="11"/>
    </row>
    <row r="141" spans="13:13" ht="15.75" customHeight="1" x14ac:dyDescent="0.2">
      <c r="M141" s="11"/>
    </row>
    <row r="142" spans="13:13" ht="15.75" customHeight="1" x14ac:dyDescent="0.2">
      <c r="M142" s="11"/>
    </row>
    <row r="143" spans="13:13" ht="15.75" customHeight="1" x14ac:dyDescent="0.2">
      <c r="M143" s="11"/>
    </row>
    <row r="144" spans="13:13" ht="15.75" customHeight="1" x14ac:dyDescent="0.2">
      <c r="M144" s="11"/>
    </row>
    <row r="145" spans="13:13" ht="15.75" customHeight="1" x14ac:dyDescent="0.2">
      <c r="M145" s="11"/>
    </row>
    <row r="146" spans="13:13" ht="15.75" customHeight="1" x14ac:dyDescent="0.2">
      <c r="M146" s="11"/>
    </row>
    <row r="147" spans="13:13" ht="15.75" customHeight="1" x14ac:dyDescent="0.2">
      <c r="M147" s="11"/>
    </row>
    <row r="148" spans="13:13" ht="15.75" customHeight="1" x14ac:dyDescent="0.2">
      <c r="M148" s="11"/>
    </row>
    <row r="149" spans="13:13" ht="15.75" customHeight="1" x14ac:dyDescent="0.2">
      <c r="M149" s="11"/>
    </row>
    <row r="150" spans="13:13" ht="15.75" customHeight="1" x14ac:dyDescent="0.2">
      <c r="M150" s="11"/>
    </row>
    <row r="151" spans="13:13" ht="15.75" customHeight="1" x14ac:dyDescent="0.2">
      <c r="M151" s="11"/>
    </row>
    <row r="152" spans="13:13" ht="15.75" customHeight="1" x14ac:dyDescent="0.2">
      <c r="M152" s="11"/>
    </row>
    <row r="153" spans="13:13" ht="15.75" customHeight="1" x14ac:dyDescent="0.2">
      <c r="M153" s="11"/>
    </row>
    <row r="154" spans="13:13" ht="15.75" customHeight="1" x14ac:dyDescent="0.2">
      <c r="M154" s="11"/>
    </row>
    <row r="155" spans="13:13" ht="15.75" customHeight="1" x14ac:dyDescent="0.2">
      <c r="M155" s="11"/>
    </row>
    <row r="156" spans="13:13" ht="15.75" customHeight="1" x14ac:dyDescent="0.2">
      <c r="M156" s="11"/>
    </row>
    <row r="157" spans="13:13" ht="15.75" customHeight="1" x14ac:dyDescent="0.2">
      <c r="M157" s="11"/>
    </row>
    <row r="158" spans="13:13" ht="15.75" customHeight="1" x14ac:dyDescent="0.2">
      <c r="M158" s="11"/>
    </row>
    <row r="159" spans="13:13" ht="15.75" customHeight="1" x14ac:dyDescent="0.2">
      <c r="M159" s="11"/>
    </row>
    <row r="160" spans="13:13" ht="15.75" customHeight="1" x14ac:dyDescent="0.2">
      <c r="M160" s="11"/>
    </row>
    <row r="161" spans="13:13" ht="15.75" customHeight="1" x14ac:dyDescent="0.2">
      <c r="M161" s="11"/>
    </row>
    <row r="162" spans="13:13" ht="15.75" customHeight="1" x14ac:dyDescent="0.2">
      <c r="M162" s="11"/>
    </row>
    <row r="163" spans="13:13" ht="15.75" customHeight="1" x14ac:dyDescent="0.2">
      <c r="M163" s="11"/>
    </row>
    <row r="164" spans="13:13" ht="15.75" customHeight="1" x14ac:dyDescent="0.2">
      <c r="M164" s="11"/>
    </row>
    <row r="165" spans="13:13" ht="15.75" customHeight="1" x14ac:dyDescent="0.2">
      <c r="M165" s="11"/>
    </row>
    <row r="166" spans="13:13" ht="15.75" customHeight="1" x14ac:dyDescent="0.2">
      <c r="M166" s="11"/>
    </row>
    <row r="167" spans="13:13" ht="15.75" customHeight="1" x14ac:dyDescent="0.2">
      <c r="M167" s="11"/>
    </row>
    <row r="168" spans="13:13" ht="15.75" customHeight="1" x14ac:dyDescent="0.2">
      <c r="M168" s="11"/>
    </row>
    <row r="169" spans="13:13" ht="15.75" customHeight="1" x14ac:dyDescent="0.2">
      <c r="M169" s="11"/>
    </row>
    <row r="170" spans="13:13" ht="15.75" customHeight="1" x14ac:dyDescent="0.2">
      <c r="M170" s="11"/>
    </row>
    <row r="171" spans="13:13" ht="15.75" customHeight="1" x14ac:dyDescent="0.2">
      <c r="M171" s="11"/>
    </row>
    <row r="172" spans="13:13" ht="15.75" customHeight="1" x14ac:dyDescent="0.2">
      <c r="M172" s="11"/>
    </row>
    <row r="173" spans="13:13" ht="15.75" customHeight="1" x14ac:dyDescent="0.2">
      <c r="M173" s="11"/>
    </row>
    <row r="174" spans="13:13" ht="15.75" customHeight="1" x14ac:dyDescent="0.2">
      <c r="M174" s="11"/>
    </row>
    <row r="175" spans="13:13" ht="15.75" customHeight="1" x14ac:dyDescent="0.2">
      <c r="M175" s="11"/>
    </row>
    <row r="176" spans="13:13" ht="15.75" customHeight="1" x14ac:dyDescent="0.2">
      <c r="M176" s="11"/>
    </row>
    <row r="177" spans="13:13" ht="15.75" customHeight="1" x14ac:dyDescent="0.2">
      <c r="M177" s="11"/>
    </row>
    <row r="178" spans="13:13" ht="15.75" customHeight="1" x14ac:dyDescent="0.2">
      <c r="M178" s="11"/>
    </row>
    <row r="179" spans="13:13" ht="15.75" customHeight="1" x14ac:dyDescent="0.2">
      <c r="M179" s="11"/>
    </row>
    <row r="180" spans="13:13" ht="15.75" customHeight="1" x14ac:dyDescent="0.2">
      <c r="M180" s="11"/>
    </row>
    <row r="181" spans="13:13" ht="15.75" customHeight="1" x14ac:dyDescent="0.2">
      <c r="M181" s="11"/>
    </row>
    <row r="182" spans="13:13" ht="15.75" customHeight="1" x14ac:dyDescent="0.2">
      <c r="M182" s="11"/>
    </row>
    <row r="183" spans="13:13" ht="15.75" customHeight="1" x14ac:dyDescent="0.2">
      <c r="M183" s="11"/>
    </row>
    <row r="184" spans="13:13" ht="15.75" customHeight="1" x14ac:dyDescent="0.2">
      <c r="M184" s="11"/>
    </row>
    <row r="185" spans="13:13" ht="15.75" customHeight="1" x14ac:dyDescent="0.2">
      <c r="M185" s="11"/>
    </row>
    <row r="186" spans="13:13" ht="15.75" customHeight="1" x14ac:dyDescent="0.2">
      <c r="M186" s="11"/>
    </row>
    <row r="187" spans="13:13" ht="15.75" customHeight="1" x14ac:dyDescent="0.2">
      <c r="M187" s="11"/>
    </row>
    <row r="188" spans="13:13" ht="15.75" customHeight="1" x14ac:dyDescent="0.2">
      <c r="M188" s="11"/>
    </row>
    <row r="189" spans="13:13" ht="15.75" customHeight="1" x14ac:dyDescent="0.2">
      <c r="M189" s="11"/>
    </row>
    <row r="190" spans="13:13" ht="15.75" customHeight="1" x14ac:dyDescent="0.2">
      <c r="M190" s="11"/>
    </row>
    <row r="191" spans="13:13" ht="15.75" customHeight="1" x14ac:dyDescent="0.2">
      <c r="M191" s="11"/>
    </row>
    <row r="192" spans="13:13" ht="15.75" customHeight="1" x14ac:dyDescent="0.2">
      <c r="M192" s="11"/>
    </row>
    <row r="193" spans="13:13" ht="15.75" customHeight="1" x14ac:dyDescent="0.2">
      <c r="M193" s="11"/>
    </row>
    <row r="194" spans="13:13" ht="15.75" customHeight="1" x14ac:dyDescent="0.2">
      <c r="M194" s="11"/>
    </row>
    <row r="195" spans="13:13" ht="15.75" customHeight="1" x14ac:dyDescent="0.2">
      <c r="M195" s="11"/>
    </row>
    <row r="196" spans="13:13" ht="15.75" customHeight="1" x14ac:dyDescent="0.2">
      <c r="M196" s="11"/>
    </row>
    <row r="197" spans="13:13" ht="15.75" customHeight="1" x14ac:dyDescent="0.2">
      <c r="M197" s="11"/>
    </row>
    <row r="198" spans="13:13" ht="15.75" customHeight="1" x14ac:dyDescent="0.2">
      <c r="M198" s="11"/>
    </row>
    <row r="199" spans="13:13" ht="15.75" customHeight="1" x14ac:dyDescent="0.2">
      <c r="M199" s="11"/>
    </row>
    <row r="200" spans="13:13" ht="15.75" customHeight="1" x14ac:dyDescent="0.2">
      <c r="M200" s="11"/>
    </row>
    <row r="201" spans="13:13" ht="15.75" customHeight="1" x14ac:dyDescent="0.2">
      <c r="M201" s="11"/>
    </row>
    <row r="202" spans="13:13" ht="15.75" customHeight="1" x14ac:dyDescent="0.2">
      <c r="M202" s="11"/>
    </row>
    <row r="203" spans="13:13" ht="15.75" customHeight="1" x14ac:dyDescent="0.2">
      <c r="M203" s="11"/>
    </row>
    <row r="204" spans="13:13" ht="15.75" customHeight="1" x14ac:dyDescent="0.2">
      <c r="M204" s="11"/>
    </row>
    <row r="205" spans="13:13" ht="15.75" customHeight="1" x14ac:dyDescent="0.2">
      <c r="M205" s="11"/>
    </row>
    <row r="206" spans="13:13" ht="15.75" customHeight="1" x14ac:dyDescent="0.2">
      <c r="M206" s="11"/>
    </row>
    <row r="207" spans="13:13" ht="15.75" customHeight="1" x14ac:dyDescent="0.2">
      <c r="M207" s="11"/>
    </row>
    <row r="208" spans="13:13" ht="15.75" customHeight="1" x14ac:dyDescent="0.2">
      <c r="M208" s="11"/>
    </row>
    <row r="209" spans="13:13" ht="15.75" customHeight="1" x14ac:dyDescent="0.2">
      <c r="M209" s="11"/>
    </row>
    <row r="210" spans="13:13" ht="15.75" customHeight="1" x14ac:dyDescent="0.2">
      <c r="M210" s="11"/>
    </row>
    <row r="211" spans="13:13" ht="15.75" customHeight="1" x14ac:dyDescent="0.2">
      <c r="M211" s="11"/>
    </row>
    <row r="212" spans="13:13" ht="15.75" customHeight="1" x14ac:dyDescent="0.2">
      <c r="M212" s="11"/>
    </row>
    <row r="213" spans="13:13" ht="15.75" customHeight="1" x14ac:dyDescent="0.2">
      <c r="M213" s="11"/>
    </row>
    <row r="214" spans="13:13" ht="15.75" customHeight="1" x14ac:dyDescent="0.2">
      <c r="M214" s="11"/>
    </row>
    <row r="215" spans="13:13" ht="15.75" customHeight="1" x14ac:dyDescent="0.2">
      <c r="M215" s="11"/>
    </row>
    <row r="216" spans="13:13" ht="15.75" customHeight="1" x14ac:dyDescent="0.2">
      <c r="M216" s="11"/>
    </row>
    <row r="217" spans="13:13" ht="15.75" customHeight="1" x14ac:dyDescent="0.2">
      <c r="M217" s="11"/>
    </row>
    <row r="218" spans="13:13" ht="15.75" customHeight="1" x14ac:dyDescent="0.2">
      <c r="M218" s="11"/>
    </row>
    <row r="219" spans="13:13" ht="15.75" customHeight="1" x14ac:dyDescent="0.2">
      <c r="M219" s="11"/>
    </row>
    <row r="220" spans="13:13" ht="15.75" customHeight="1" x14ac:dyDescent="0.2">
      <c r="M220" s="11"/>
    </row>
    <row r="221" spans="13:13" ht="15.75" customHeight="1" x14ac:dyDescent="0.2">
      <c r="M221" s="11"/>
    </row>
    <row r="222" spans="13:13" ht="15.75" customHeight="1" x14ac:dyDescent="0.2">
      <c r="M222" s="11"/>
    </row>
    <row r="223" spans="13:13" ht="15.75" customHeight="1" x14ac:dyDescent="0.2">
      <c r="M223" s="11"/>
    </row>
    <row r="224" spans="13:13" ht="15.75" customHeight="1" x14ac:dyDescent="0.2">
      <c r="M224" s="11"/>
    </row>
    <row r="225" spans="13:13" ht="15.75" customHeight="1" x14ac:dyDescent="0.2">
      <c r="M225" s="11"/>
    </row>
    <row r="226" spans="13:13" ht="15.75" customHeight="1" x14ac:dyDescent="0.2">
      <c r="M226" s="11"/>
    </row>
    <row r="227" spans="13:13" ht="15.75" customHeight="1" x14ac:dyDescent="0.2">
      <c r="M227" s="11"/>
    </row>
    <row r="228" spans="13:13" ht="15.75" customHeight="1" x14ac:dyDescent="0.2">
      <c r="M228" s="11"/>
    </row>
    <row r="229" spans="13:13" ht="15.75" customHeight="1" x14ac:dyDescent="0.2">
      <c r="M229" s="11"/>
    </row>
    <row r="230" spans="13:13" ht="15.75" customHeight="1" x14ac:dyDescent="0.2">
      <c r="M230" s="11"/>
    </row>
    <row r="231" spans="13:13" ht="15.75" customHeight="1" x14ac:dyDescent="0.2">
      <c r="M231" s="11"/>
    </row>
    <row r="232" spans="13:13" ht="15.75" customHeight="1" x14ac:dyDescent="0.2">
      <c r="M232" s="11"/>
    </row>
    <row r="233" spans="13:13" ht="15.75" customHeight="1" x14ac:dyDescent="0.2">
      <c r="M233" s="11"/>
    </row>
    <row r="234" spans="13:13" ht="15.75" customHeight="1" x14ac:dyDescent="0.2">
      <c r="M234" s="11"/>
    </row>
    <row r="235" spans="13:13" ht="15.75" customHeight="1" x14ac:dyDescent="0.2">
      <c r="M235" s="11"/>
    </row>
    <row r="236" spans="13:13" ht="15.75" customHeight="1" x14ac:dyDescent="0.2">
      <c r="M236" s="11"/>
    </row>
    <row r="237" spans="13:13" ht="15.75" customHeight="1" x14ac:dyDescent="0.2">
      <c r="M237" s="11"/>
    </row>
    <row r="238" spans="13:13" ht="15.75" customHeight="1" x14ac:dyDescent="0.2">
      <c r="M238" s="11"/>
    </row>
    <row r="239" spans="13:13" ht="15.75" customHeight="1" x14ac:dyDescent="0.2">
      <c r="M239" s="11"/>
    </row>
    <row r="240" spans="13:13" ht="15.75" customHeight="1" x14ac:dyDescent="0.2">
      <c r="M240" s="11"/>
    </row>
    <row r="241" spans="13:13" ht="15.75" customHeight="1" x14ac:dyDescent="0.2">
      <c r="M241" s="11"/>
    </row>
    <row r="242" spans="13:13" ht="15.75" customHeight="1" x14ac:dyDescent="0.2">
      <c r="M242" s="11"/>
    </row>
    <row r="243" spans="13:13" ht="15.75" customHeight="1" x14ac:dyDescent="0.2">
      <c r="M243" s="11"/>
    </row>
    <row r="244" spans="13:13" ht="15.75" customHeight="1" x14ac:dyDescent="0.2">
      <c r="M244" s="11"/>
    </row>
    <row r="245" spans="13:13" ht="15.75" customHeight="1" x14ac:dyDescent="0.2">
      <c r="M245" s="11"/>
    </row>
    <row r="246" spans="13:13" ht="15.75" customHeight="1" x14ac:dyDescent="0.2">
      <c r="M246" s="11"/>
    </row>
    <row r="247" spans="13:13" ht="15.75" customHeight="1" x14ac:dyDescent="0.2">
      <c r="M247" s="11"/>
    </row>
    <row r="248" spans="13:13" ht="15.75" customHeight="1" x14ac:dyDescent="0.2">
      <c r="M248" s="11"/>
    </row>
    <row r="249" spans="13:13" ht="15.75" customHeight="1" x14ac:dyDescent="0.2">
      <c r="M249" s="11"/>
    </row>
    <row r="250" spans="13:13" ht="15.75" customHeight="1" x14ac:dyDescent="0.2">
      <c r="M250" s="11"/>
    </row>
    <row r="251" spans="13:13" ht="15.75" customHeight="1" x14ac:dyDescent="0.2">
      <c r="M251" s="11"/>
    </row>
    <row r="252" spans="13:13" ht="15.75" customHeight="1" x14ac:dyDescent="0.2">
      <c r="M252" s="11"/>
    </row>
    <row r="253" spans="13:13" ht="15.75" customHeight="1" x14ac:dyDescent="0.2">
      <c r="M253" s="11"/>
    </row>
    <row r="254" spans="13:13" ht="15.75" customHeight="1" x14ac:dyDescent="0.2">
      <c r="M254" s="11"/>
    </row>
    <row r="255" spans="13:13" ht="15.75" customHeight="1" x14ac:dyDescent="0.2">
      <c r="M255" s="11"/>
    </row>
    <row r="256" spans="13:13" ht="15.75" customHeight="1" x14ac:dyDescent="0.2">
      <c r="M256" s="11"/>
    </row>
    <row r="257" spans="13:13" ht="15.75" customHeight="1" x14ac:dyDescent="0.2">
      <c r="M257" s="11"/>
    </row>
    <row r="258" spans="13:13" ht="15.75" customHeight="1" x14ac:dyDescent="0.2">
      <c r="M258" s="11"/>
    </row>
    <row r="259" spans="13:13" ht="15.75" customHeight="1" x14ac:dyDescent="0.2">
      <c r="M259" s="11"/>
    </row>
    <row r="260" spans="13:13" ht="15.75" customHeight="1" x14ac:dyDescent="0.2">
      <c r="M260" s="11"/>
    </row>
    <row r="261" spans="13:13" ht="15.75" customHeight="1" x14ac:dyDescent="0.2">
      <c r="M261" s="11"/>
    </row>
    <row r="262" spans="13:13" ht="15.75" customHeight="1" x14ac:dyDescent="0.2">
      <c r="M262" s="11"/>
    </row>
    <row r="263" spans="13:13" ht="15.75" customHeight="1" x14ac:dyDescent="0.2">
      <c r="M263" s="11"/>
    </row>
    <row r="264" spans="13:13" ht="15.75" customHeight="1" x14ac:dyDescent="0.2">
      <c r="M264" s="11"/>
    </row>
    <row r="265" spans="13:13" ht="15.75" customHeight="1" x14ac:dyDescent="0.2">
      <c r="M265" s="11"/>
    </row>
    <row r="266" spans="13:13" ht="15.75" customHeight="1" x14ac:dyDescent="0.2">
      <c r="M266" s="11"/>
    </row>
    <row r="267" spans="13:13" ht="15.75" customHeight="1" x14ac:dyDescent="0.2">
      <c r="M267" s="11"/>
    </row>
    <row r="268" spans="13:13" ht="15.75" customHeight="1" x14ac:dyDescent="0.2">
      <c r="M268" s="11"/>
    </row>
    <row r="269" spans="13:13" ht="15.75" customHeight="1" x14ac:dyDescent="0.2">
      <c r="M269" s="11"/>
    </row>
    <row r="270" spans="13:13" ht="15.75" customHeight="1" x14ac:dyDescent="0.2">
      <c r="M270" s="11"/>
    </row>
    <row r="271" spans="13:13" ht="15.75" customHeight="1" x14ac:dyDescent="0.2">
      <c r="M271" s="11"/>
    </row>
    <row r="272" spans="13:13" ht="15.75" customHeight="1" x14ac:dyDescent="0.2">
      <c r="M272" s="11"/>
    </row>
    <row r="273" spans="13:13" ht="15.75" customHeight="1" x14ac:dyDescent="0.2">
      <c r="M273" s="11"/>
    </row>
    <row r="274" spans="13:13" ht="15.75" customHeight="1" x14ac:dyDescent="0.2">
      <c r="M274" s="11"/>
    </row>
    <row r="275" spans="13:13" ht="15.75" customHeight="1" x14ac:dyDescent="0.2">
      <c r="M275" s="11"/>
    </row>
    <row r="276" spans="13:13" ht="15.75" customHeight="1" x14ac:dyDescent="0.2">
      <c r="M276" s="11"/>
    </row>
    <row r="277" spans="13:13" ht="15.75" customHeight="1" x14ac:dyDescent="0.2">
      <c r="M277" s="11"/>
    </row>
    <row r="278" spans="13:13" ht="15.75" customHeight="1" x14ac:dyDescent="0.2">
      <c r="M278" s="11"/>
    </row>
    <row r="279" spans="13:13" ht="15.75" customHeight="1" x14ac:dyDescent="0.2">
      <c r="M279" s="11"/>
    </row>
    <row r="280" spans="13:13" ht="15.75" customHeight="1" x14ac:dyDescent="0.2">
      <c r="M280" s="11"/>
    </row>
    <row r="281" spans="13:13" ht="15.75" customHeight="1" x14ac:dyDescent="0.2">
      <c r="M281" s="11"/>
    </row>
    <row r="282" spans="13:13" ht="15.75" customHeight="1" x14ac:dyDescent="0.2">
      <c r="M282" s="11"/>
    </row>
    <row r="283" spans="13:13" ht="15.75" customHeight="1" x14ac:dyDescent="0.2">
      <c r="M283" s="11"/>
    </row>
    <row r="284" spans="13:13" ht="15.75" customHeight="1" x14ac:dyDescent="0.2">
      <c r="M284" s="11"/>
    </row>
    <row r="285" spans="13:13" ht="15.75" customHeight="1" x14ac:dyDescent="0.2">
      <c r="M285" s="11"/>
    </row>
    <row r="286" spans="13:13" ht="15.75" customHeight="1" x14ac:dyDescent="0.2">
      <c r="M286" s="11"/>
    </row>
    <row r="287" spans="13:13" ht="15.75" customHeight="1" x14ac:dyDescent="0.2">
      <c r="M287" s="11"/>
    </row>
    <row r="288" spans="13:13" ht="15.75" customHeight="1" x14ac:dyDescent="0.2">
      <c r="M288" s="11"/>
    </row>
    <row r="289" spans="13:13" ht="15.75" customHeight="1" x14ac:dyDescent="0.2">
      <c r="M289" s="11"/>
    </row>
    <row r="290" spans="13:13" ht="15.75" customHeight="1" x14ac:dyDescent="0.2">
      <c r="M290" s="11"/>
    </row>
    <row r="291" spans="13:13" ht="15.75" customHeight="1" x14ac:dyDescent="0.2">
      <c r="M291" s="11"/>
    </row>
    <row r="292" spans="13:13" ht="15.75" customHeight="1" x14ac:dyDescent="0.2">
      <c r="M292" s="11"/>
    </row>
    <row r="293" spans="13:13" ht="15.75" customHeight="1" x14ac:dyDescent="0.2">
      <c r="M293" s="11"/>
    </row>
    <row r="294" spans="13:13" ht="15.75" customHeight="1" x14ac:dyDescent="0.2">
      <c r="M294" s="11"/>
    </row>
    <row r="295" spans="13:13" ht="15.75" customHeight="1" x14ac:dyDescent="0.2">
      <c r="M295" s="11"/>
    </row>
    <row r="296" spans="13:13" ht="15.75" customHeight="1" x14ac:dyDescent="0.2">
      <c r="M296" s="11"/>
    </row>
    <row r="297" spans="13:13" ht="15.75" customHeight="1" x14ac:dyDescent="0.2">
      <c r="M297" s="11"/>
    </row>
    <row r="298" spans="13:13" ht="15.75" customHeight="1" x14ac:dyDescent="0.2">
      <c r="M298" s="11"/>
    </row>
    <row r="299" spans="13:13" ht="15.75" customHeight="1" x14ac:dyDescent="0.2">
      <c r="M299" s="11"/>
    </row>
    <row r="300" spans="13:13" ht="15.75" customHeight="1" x14ac:dyDescent="0.2">
      <c r="M300" s="11"/>
    </row>
    <row r="301" spans="13:13" ht="15.75" customHeight="1" x14ac:dyDescent="0.2">
      <c r="M301" s="11"/>
    </row>
    <row r="302" spans="13:13" ht="15.75" customHeight="1" x14ac:dyDescent="0.2">
      <c r="M302" s="11"/>
    </row>
    <row r="303" spans="13:13" ht="15.75" customHeight="1" x14ac:dyDescent="0.2">
      <c r="M303" s="11"/>
    </row>
    <row r="304" spans="13:13" ht="15.75" customHeight="1" x14ac:dyDescent="0.2">
      <c r="M304" s="11"/>
    </row>
    <row r="305" spans="13:13" ht="15.75" customHeight="1" x14ac:dyDescent="0.2">
      <c r="M305" s="11"/>
    </row>
    <row r="306" spans="13:13" ht="15.75" customHeight="1" x14ac:dyDescent="0.2">
      <c r="M306" s="11"/>
    </row>
    <row r="307" spans="13:13" ht="15.75" customHeight="1" x14ac:dyDescent="0.2">
      <c r="M307" s="11"/>
    </row>
    <row r="308" spans="13:13" ht="15.75" customHeight="1" x14ac:dyDescent="0.2">
      <c r="M308" s="11"/>
    </row>
    <row r="309" spans="13:13" ht="15.75" customHeight="1" x14ac:dyDescent="0.2">
      <c r="M309" s="11"/>
    </row>
    <row r="310" spans="13:13" ht="15.75" customHeight="1" x14ac:dyDescent="0.2">
      <c r="M310" s="11"/>
    </row>
    <row r="311" spans="13:13" ht="15.75" customHeight="1" x14ac:dyDescent="0.2">
      <c r="M311" s="11"/>
    </row>
    <row r="312" spans="13:13" ht="15.75" customHeight="1" x14ac:dyDescent="0.2">
      <c r="M312" s="11"/>
    </row>
    <row r="313" spans="13:13" ht="15.75" customHeight="1" x14ac:dyDescent="0.2">
      <c r="M313" s="11"/>
    </row>
    <row r="314" spans="13:13" ht="15.75" customHeight="1" x14ac:dyDescent="0.2">
      <c r="M314" s="11"/>
    </row>
    <row r="315" spans="13:13" ht="15.75" customHeight="1" x14ac:dyDescent="0.2">
      <c r="M315" s="11"/>
    </row>
    <row r="316" spans="13:13" ht="15.75" customHeight="1" x14ac:dyDescent="0.2">
      <c r="M316" s="11"/>
    </row>
    <row r="317" spans="13:13" ht="15.75" customHeight="1" x14ac:dyDescent="0.2">
      <c r="M317" s="11"/>
    </row>
    <row r="318" spans="13:13" ht="15.75" customHeight="1" x14ac:dyDescent="0.2">
      <c r="M318" s="11"/>
    </row>
    <row r="319" spans="13:13" ht="15.75" customHeight="1" x14ac:dyDescent="0.2">
      <c r="M319" s="11"/>
    </row>
    <row r="320" spans="13:13" ht="15.75" customHeight="1" x14ac:dyDescent="0.2">
      <c r="M320" s="11"/>
    </row>
    <row r="321" spans="13:13" ht="15.75" customHeight="1" x14ac:dyDescent="0.2">
      <c r="M321" s="11"/>
    </row>
    <row r="322" spans="13:13" ht="15.75" customHeight="1" x14ac:dyDescent="0.2">
      <c r="M322" s="11"/>
    </row>
    <row r="323" spans="13:13" ht="15.75" customHeight="1" x14ac:dyDescent="0.2">
      <c r="M323" s="11"/>
    </row>
    <row r="324" spans="13:13" ht="15.75" customHeight="1" x14ac:dyDescent="0.2">
      <c r="M324" s="11"/>
    </row>
    <row r="325" spans="13:13" ht="15.75" customHeight="1" x14ac:dyDescent="0.2">
      <c r="M325" s="11"/>
    </row>
    <row r="326" spans="13:13" ht="15.75" customHeight="1" x14ac:dyDescent="0.2">
      <c r="M326" s="11"/>
    </row>
    <row r="327" spans="13:13" ht="15.75" customHeight="1" x14ac:dyDescent="0.2">
      <c r="M327" s="11"/>
    </row>
    <row r="328" spans="13:13" ht="15.75" customHeight="1" x14ac:dyDescent="0.2">
      <c r="M328" s="11"/>
    </row>
    <row r="329" spans="13:13" ht="15.75" customHeight="1" x14ac:dyDescent="0.2">
      <c r="M329" s="11"/>
    </row>
    <row r="330" spans="13:13" ht="15.75" customHeight="1" x14ac:dyDescent="0.2">
      <c r="M330" s="11"/>
    </row>
    <row r="331" spans="13:13" ht="15.75" customHeight="1" x14ac:dyDescent="0.2">
      <c r="M331" s="11"/>
    </row>
    <row r="332" spans="13:13" ht="15.75" customHeight="1" x14ac:dyDescent="0.2">
      <c r="M332" s="11"/>
    </row>
    <row r="333" spans="13:13" ht="15.75" customHeight="1" x14ac:dyDescent="0.2">
      <c r="M333" s="11"/>
    </row>
    <row r="334" spans="13:13" ht="15.75" customHeight="1" x14ac:dyDescent="0.2">
      <c r="M334" s="11"/>
    </row>
    <row r="335" spans="13:13" ht="15.75" customHeight="1" x14ac:dyDescent="0.2">
      <c r="M335" s="11"/>
    </row>
    <row r="336" spans="13:13" ht="15.75" customHeight="1" x14ac:dyDescent="0.2">
      <c r="M336" s="11"/>
    </row>
    <row r="337" spans="13:13" ht="15.75" customHeight="1" x14ac:dyDescent="0.2">
      <c r="M337" s="11"/>
    </row>
    <row r="338" spans="13:13" ht="15.75" customHeight="1" x14ac:dyDescent="0.2">
      <c r="M338" s="11"/>
    </row>
    <row r="339" spans="13:13" ht="15.75" customHeight="1" x14ac:dyDescent="0.2">
      <c r="M339" s="11"/>
    </row>
    <row r="340" spans="13:13" ht="15.75" customHeight="1" x14ac:dyDescent="0.2">
      <c r="M340" s="11"/>
    </row>
    <row r="341" spans="13:13" ht="15.75" customHeight="1" x14ac:dyDescent="0.2">
      <c r="M341" s="11"/>
    </row>
    <row r="342" spans="13:13" ht="15.75" customHeight="1" x14ac:dyDescent="0.2">
      <c r="M342" s="11"/>
    </row>
    <row r="343" spans="13:13" ht="15.75" customHeight="1" x14ac:dyDescent="0.2">
      <c r="M343" s="11"/>
    </row>
    <row r="344" spans="13:13" ht="15.75" customHeight="1" x14ac:dyDescent="0.2">
      <c r="M344" s="11"/>
    </row>
    <row r="345" spans="13:13" ht="15.75" customHeight="1" x14ac:dyDescent="0.2">
      <c r="M345" s="11"/>
    </row>
    <row r="346" spans="13:13" ht="15.75" customHeight="1" x14ac:dyDescent="0.2">
      <c r="M346" s="11"/>
    </row>
    <row r="347" spans="13:13" ht="15.75" customHeight="1" x14ac:dyDescent="0.2">
      <c r="M347" s="11"/>
    </row>
    <row r="348" spans="13:13" ht="15.75" customHeight="1" x14ac:dyDescent="0.2">
      <c r="M348" s="11"/>
    </row>
    <row r="349" spans="13:13" ht="15.75" customHeight="1" x14ac:dyDescent="0.2">
      <c r="M349" s="11"/>
    </row>
    <row r="350" spans="13:13" ht="15.75" customHeight="1" x14ac:dyDescent="0.2">
      <c r="M350" s="11"/>
    </row>
    <row r="351" spans="13:13" ht="15.75" customHeight="1" x14ac:dyDescent="0.2">
      <c r="M351" s="11"/>
    </row>
    <row r="352" spans="13:13" ht="15.75" customHeight="1" x14ac:dyDescent="0.2">
      <c r="M352" s="11"/>
    </row>
    <row r="353" spans="13:13" ht="15.75" customHeight="1" x14ac:dyDescent="0.2">
      <c r="M353" s="11"/>
    </row>
    <row r="354" spans="13:13" ht="15.75" customHeight="1" x14ac:dyDescent="0.2">
      <c r="M354" s="11"/>
    </row>
    <row r="355" spans="13:13" ht="15.75" customHeight="1" x14ac:dyDescent="0.2">
      <c r="M355" s="11"/>
    </row>
    <row r="356" spans="13:13" ht="15.75" customHeight="1" x14ac:dyDescent="0.2">
      <c r="M356" s="11"/>
    </row>
    <row r="357" spans="13:13" ht="15.75" customHeight="1" x14ac:dyDescent="0.2">
      <c r="M357" s="11"/>
    </row>
    <row r="358" spans="13:13" ht="15.75" customHeight="1" x14ac:dyDescent="0.2">
      <c r="M358" s="11"/>
    </row>
    <row r="359" spans="13:13" ht="15.75" customHeight="1" x14ac:dyDescent="0.2">
      <c r="M359" s="11"/>
    </row>
    <row r="360" spans="13:13" ht="15.75" customHeight="1" x14ac:dyDescent="0.2">
      <c r="M360" s="11"/>
    </row>
    <row r="361" spans="13:13" ht="15.75" customHeight="1" x14ac:dyDescent="0.2">
      <c r="M361" s="11"/>
    </row>
    <row r="362" spans="13:13" ht="15.75" customHeight="1" x14ac:dyDescent="0.2">
      <c r="M362" s="11"/>
    </row>
    <row r="363" spans="13:13" ht="15.75" customHeight="1" x14ac:dyDescent="0.2">
      <c r="M363" s="11"/>
    </row>
    <row r="364" spans="13:13" ht="15.75" customHeight="1" x14ac:dyDescent="0.2">
      <c r="M364" s="11"/>
    </row>
    <row r="365" spans="13:13" ht="15.75" customHeight="1" x14ac:dyDescent="0.2">
      <c r="M365" s="11"/>
    </row>
    <row r="366" spans="13:13" ht="15.75" customHeight="1" x14ac:dyDescent="0.2">
      <c r="M366" s="11"/>
    </row>
    <row r="367" spans="13:13" ht="15.75" customHeight="1" x14ac:dyDescent="0.2">
      <c r="M367" s="11"/>
    </row>
    <row r="368" spans="13:13" ht="15.75" customHeight="1" x14ac:dyDescent="0.2">
      <c r="M368" s="11"/>
    </row>
    <row r="369" spans="13:13" ht="15.75" customHeight="1" x14ac:dyDescent="0.2">
      <c r="M369" s="11"/>
    </row>
    <row r="370" spans="13:13" ht="15.75" customHeight="1" x14ac:dyDescent="0.2">
      <c r="M370" s="11"/>
    </row>
    <row r="371" spans="13:13" ht="15.75" customHeight="1" x14ac:dyDescent="0.2">
      <c r="M371" s="11"/>
    </row>
    <row r="372" spans="13:13" ht="15.75" customHeight="1" x14ac:dyDescent="0.2">
      <c r="M372" s="11"/>
    </row>
    <row r="373" spans="13:13" ht="15.75" customHeight="1" x14ac:dyDescent="0.2">
      <c r="M373" s="11"/>
    </row>
    <row r="374" spans="13:13" ht="15.75" customHeight="1" x14ac:dyDescent="0.2">
      <c r="M374" s="11"/>
    </row>
    <row r="375" spans="13:13" ht="15.75" customHeight="1" x14ac:dyDescent="0.2">
      <c r="M375" s="11"/>
    </row>
    <row r="376" spans="13:13" ht="15.75" customHeight="1" x14ac:dyDescent="0.2">
      <c r="M376" s="11"/>
    </row>
    <row r="377" spans="13:13" ht="15.75" customHeight="1" x14ac:dyDescent="0.2">
      <c r="M377" s="11"/>
    </row>
    <row r="378" spans="13:13" ht="15.75" customHeight="1" x14ac:dyDescent="0.2">
      <c r="M378" s="11"/>
    </row>
    <row r="379" spans="13:13" ht="15.75" customHeight="1" x14ac:dyDescent="0.2">
      <c r="M379" s="11"/>
    </row>
    <row r="380" spans="13:13" ht="15.75" customHeight="1" x14ac:dyDescent="0.2">
      <c r="M380" s="11"/>
    </row>
    <row r="381" spans="13:13" ht="15.75" customHeight="1" x14ac:dyDescent="0.2">
      <c r="M381" s="11"/>
    </row>
    <row r="382" spans="13:13" ht="15.75" customHeight="1" x14ac:dyDescent="0.2">
      <c r="M382" s="11"/>
    </row>
    <row r="383" spans="13:13" ht="15.75" customHeight="1" x14ac:dyDescent="0.2">
      <c r="M383" s="11"/>
    </row>
    <row r="384" spans="13:13" ht="15.75" customHeight="1" x14ac:dyDescent="0.2">
      <c r="M384" s="11"/>
    </row>
    <row r="385" spans="13:13" ht="15.75" customHeight="1" x14ac:dyDescent="0.2">
      <c r="M385" s="11"/>
    </row>
    <row r="386" spans="13:13" ht="15.75" customHeight="1" x14ac:dyDescent="0.2">
      <c r="M386" s="11"/>
    </row>
    <row r="387" spans="13:13" ht="15.75" customHeight="1" x14ac:dyDescent="0.2">
      <c r="M387" s="11"/>
    </row>
    <row r="388" spans="13:13" ht="15.75" customHeight="1" x14ac:dyDescent="0.2">
      <c r="M388" s="11"/>
    </row>
    <row r="389" spans="13:13" ht="15.75" customHeight="1" x14ac:dyDescent="0.2">
      <c r="M389" s="11"/>
    </row>
    <row r="390" spans="13:13" ht="15.75" customHeight="1" x14ac:dyDescent="0.2">
      <c r="M390" s="11"/>
    </row>
    <row r="391" spans="13:13" ht="15.75" customHeight="1" x14ac:dyDescent="0.2">
      <c r="M391" s="11"/>
    </row>
    <row r="392" spans="13:13" ht="15.75" customHeight="1" x14ac:dyDescent="0.2">
      <c r="M392" s="11"/>
    </row>
    <row r="393" spans="13:13" ht="15.75" customHeight="1" x14ac:dyDescent="0.2">
      <c r="M393" s="11"/>
    </row>
    <row r="394" spans="13:13" ht="15.75" customHeight="1" x14ac:dyDescent="0.2">
      <c r="M394" s="11"/>
    </row>
    <row r="395" spans="13:13" ht="15.75" customHeight="1" x14ac:dyDescent="0.2">
      <c r="M395" s="11"/>
    </row>
    <row r="396" spans="13:13" ht="15.75" customHeight="1" x14ac:dyDescent="0.2">
      <c r="M396" s="11"/>
    </row>
    <row r="397" spans="13:13" ht="15.75" customHeight="1" x14ac:dyDescent="0.2">
      <c r="M397" s="11"/>
    </row>
    <row r="398" spans="13:13" ht="15.75" customHeight="1" x14ac:dyDescent="0.2">
      <c r="M398" s="11"/>
    </row>
    <row r="399" spans="13:13" ht="15.75" customHeight="1" x14ac:dyDescent="0.2">
      <c r="M399" s="11"/>
    </row>
    <row r="400" spans="13:13" ht="15.75" customHeight="1" x14ac:dyDescent="0.2">
      <c r="M400" s="11"/>
    </row>
    <row r="401" spans="13:13" ht="15.75" customHeight="1" x14ac:dyDescent="0.2">
      <c r="M401" s="11"/>
    </row>
    <row r="402" spans="13:13" ht="15.75" customHeight="1" x14ac:dyDescent="0.2">
      <c r="M402" s="11"/>
    </row>
    <row r="403" spans="13:13" ht="15.75" customHeight="1" x14ac:dyDescent="0.2">
      <c r="M403" s="11"/>
    </row>
    <row r="404" spans="13:13" ht="15.75" customHeight="1" x14ac:dyDescent="0.2">
      <c r="M404" s="11"/>
    </row>
    <row r="405" spans="13:13" ht="15.75" customHeight="1" x14ac:dyDescent="0.2">
      <c r="M405" s="11"/>
    </row>
    <row r="406" spans="13:13" ht="15.75" customHeight="1" x14ac:dyDescent="0.2">
      <c r="M406" s="11"/>
    </row>
    <row r="407" spans="13:13" ht="15.75" customHeight="1" x14ac:dyDescent="0.2">
      <c r="M407" s="11"/>
    </row>
    <row r="408" spans="13:13" ht="15.75" customHeight="1" x14ac:dyDescent="0.2">
      <c r="M408" s="11"/>
    </row>
    <row r="409" spans="13:13" ht="15.75" customHeight="1" x14ac:dyDescent="0.2">
      <c r="M409" s="11"/>
    </row>
    <row r="410" spans="13:13" ht="15.75" customHeight="1" x14ac:dyDescent="0.2">
      <c r="M410" s="11"/>
    </row>
    <row r="411" spans="13:13" ht="15.75" customHeight="1" x14ac:dyDescent="0.2">
      <c r="M411" s="11"/>
    </row>
    <row r="412" spans="13:13" ht="15.75" customHeight="1" x14ac:dyDescent="0.2">
      <c r="M412" s="11"/>
    </row>
    <row r="413" spans="13:13" ht="15.75" customHeight="1" x14ac:dyDescent="0.2">
      <c r="M413" s="11"/>
    </row>
    <row r="414" spans="13:13" ht="15.75" customHeight="1" x14ac:dyDescent="0.2">
      <c r="M414" s="11"/>
    </row>
    <row r="415" spans="13:13" ht="15.75" customHeight="1" x14ac:dyDescent="0.2">
      <c r="M415" s="11"/>
    </row>
    <row r="416" spans="13:13" ht="15.75" customHeight="1" x14ac:dyDescent="0.2">
      <c r="M416" s="11"/>
    </row>
    <row r="417" spans="13:13" ht="15.75" customHeight="1" x14ac:dyDescent="0.2">
      <c r="M417" s="11"/>
    </row>
    <row r="418" spans="13:13" ht="15.75" customHeight="1" x14ac:dyDescent="0.2">
      <c r="M418" s="11"/>
    </row>
    <row r="419" spans="13:13" ht="15.75" customHeight="1" x14ac:dyDescent="0.2">
      <c r="M419" s="11"/>
    </row>
    <row r="420" spans="13:13" ht="15.75" customHeight="1" x14ac:dyDescent="0.2">
      <c r="M420" s="11"/>
    </row>
    <row r="421" spans="13:13" ht="15.75" customHeight="1" x14ac:dyDescent="0.2">
      <c r="M421" s="11"/>
    </row>
    <row r="422" spans="13:13" ht="15.75" customHeight="1" x14ac:dyDescent="0.2">
      <c r="M422" s="11"/>
    </row>
    <row r="423" spans="13:13" ht="15.75" customHeight="1" x14ac:dyDescent="0.2">
      <c r="M423" s="11"/>
    </row>
    <row r="424" spans="13:13" ht="15.75" customHeight="1" x14ac:dyDescent="0.2">
      <c r="M424" s="11"/>
    </row>
    <row r="425" spans="13:13" ht="15.75" customHeight="1" x14ac:dyDescent="0.2">
      <c r="M425" s="11"/>
    </row>
    <row r="426" spans="13:13" ht="15.75" customHeight="1" x14ac:dyDescent="0.2">
      <c r="M426" s="11"/>
    </row>
    <row r="427" spans="13:13" ht="15.75" customHeight="1" x14ac:dyDescent="0.2">
      <c r="M427" s="11"/>
    </row>
    <row r="428" spans="13:13" ht="15.75" customHeight="1" x14ac:dyDescent="0.2">
      <c r="M428" s="11"/>
    </row>
    <row r="429" spans="13:13" ht="15.75" customHeight="1" x14ac:dyDescent="0.2">
      <c r="M429" s="11"/>
    </row>
    <row r="430" spans="13:13" ht="15.75" customHeight="1" x14ac:dyDescent="0.2">
      <c r="M430" s="11"/>
    </row>
    <row r="431" spans="13:13" ht="15.75" customHeight="1" x14ac:dyDescent="0.2">
      <c r="M431" s="11"/>
    </row>
    <row r="432" spans="13:13" ht="15.75" customHeight="1" x14ac:dyDescent="0.2">
      <c r="M432" s="11"/>
    </row>
    <row r="433" spans="13:13" ht="15.75" customHeight="1" x14ac:dyDescent="0.2">
      <c r="M433" s="11"/>
    </row>
    <row r="434" spans="13:13" ht="15.75" customHeight="1" x14ac:dyDescent="0.2">
      <c r="M434" s="11"/>
    </row>
    <row r="435" spans="13:13" ht="15.75" customHeight="1" x14ac:dyDescent="0.2">
      <c r="M435" s="11"/>
    </row>
    <row r="436" spans="13:13" ht="15.75" customHeight="1" x14ac:dyDescent="0.2">
      <c r="M436" s="11"/>
    </row>
    <row r="437" spans="13:13" ht="15.75" customHeight="1" x14ac:dyDescent="0.2">
      <c r="M437" s="11"/>
    </row>
    <row r="438" spans="13:13" ht="15.75" customHeight="1" x14ac:dyDescent="0.2">
      <c r="M438" s="11"/>
    </row>
    <row r="439" spans="13:13" ht="15.75" customHeight="1" x14ac:dyDescent="0.2">
      <c r="M439" s="11"/>
    </row>
    <row r="440" spans="13:13" ht="15.75" customHeight="1" x14ac:dyDescent="0.2">
      <c r="M440" s="11"/>
    </row>
    <row r="441" spans="13:13" ht="15.75" customHeight="1" x14ac:dyDescent="0.2">
      <c r="M441" s="11"/>
    </row>
    <row r="442" spans="13:13" ht="15.75" customHeight="1" x14ac:dyDescent="0.2">
      <c r="M442" s="11"/>
    </row>
    <row r="443" spans="13:13" ht="15.75" customHeight="1" x14ac:dyDescent="0.2">
      <c r="M443" s="11"/>
    </row>
    <row r="444" spans="13:13" ht="15.75" customHeight="1" x14ac:dyDescent="0.2">
      <c r="M444" s="11"/>
    </row>
    <row r="445" spans="13:13" ht="15.75" customHeight="1" x14ac:dyDescent="0.2">
      <c r="M445" s="11"/>
    </row>
    <row r="446" spans="13:13" ht="15.75" customHeight="1" x14ac:dyDescent="0.2">
      <c r="M446" s="11"/>
    </row>
    <row r="447" spans="13:13" ht="15.75" customHeight="1" x14ac:dyDescent="0.2">
      <c r="M447" s="11"/>
    </row>
    <row r="448" spans="13:13" ht="15.75" customHeight="1" x14ac:dyDescent="0.2">
      <c r="M448" s="11"/>
    </row>
    <row r="449" spans="13:13" ht="15.75" customHeight="1" x14ac:dyDescent="0.2">
      <c r="M449" s="11"/>
    </row>
    <row r="450" spans="13:13" ht="15.75" customHeight="1" x14ac:dyDescent="0.2">
      <c r="M450" s="11"/>
    </row>
    <row r="451" spans="13:13" ht="15.75" customHeight="1" x14ac:dyDescent="0.2">
      <c r="M451" s="11"/>
    </row>
    <row r="452" spans="13:13" ht="15.75" customHeight="1" x14ac:dyDescent="0.2">
      <c r="M452" s="11"/>
    </row>
    <row r="453" spans="13:13" ht="15.75" customHeight="1" x14ac:dyDescent="0.2">
      <c r="M453" s="11"/>
    </row>
    <row r="454" spans="13:13" ht="15.75" customHeight="1" x14ac:dyDescent="0.2">
      <c r="M454" s="11"/>
    </row>
    <row r="455" spans="13:13" ht="15.75" customHeight="1" x14ac:dyDescent="0.2">
      <c r="M455" s="11"/>
    </row>
    <row r="456" spans="13:13" ht="15.75" customHeight="1" x14ac:dyDescent="0.2">
      <c r="M456" s="11"/>
    </row>
    <row r="457" spans="13:13" ht="15.75" customHeight="1" x14ac:dyDescent="0.2">
      <c r="M457" s="11"/>
    </row>
    <row r="458" spans="13:13" ht="15.75" customHeight="1" x14ac:dyDescent="0.2">
      <c r="M458" s="11"/>
    </row>
    <row r="459" spans="13:13" ht="15.75" customHeight="1" x14ac:dyDescent="0.2">
      <c r="M459" s="11"/>
    </row>
    <row r="460" spans="13:13" ht="15.75" customHeight="1" x14ac:dyDescent="0.2">
      <c r="M460" s="11"/>
    </row>
    <row r="461" spans="13:13" ht="15.75" customHeight="1" x14ac:dyDescent="0.2">
      <c r="M461" s="11"/>
    </row>
    <row r="462" spans="13:13" ht="15.75" customHeight="1" x14ac:dyDescent="0.2">
      <c r="M462" s="11"/>
    </row>
    <row r="463" spans="13:13" ht="15.75" customHeight="1" x14ac:dyDescent="0.2">
      <c r="M463" s="11"/>
    </row>
    <row r="464" spans="13:13" ht="15.75" customHeight="1" x14ac:dyDescent="0.2">
      <c r="M464" s="11"/>
    </row>
    <row r="465" spans="13:13" ht="15.75" customHeight="1" x14ac:dyDescent="0.2">
      <c r="M465" s="11"/>
    </row>
    <row r="466" spans="13:13" ht="15.75" customHeight="1" x14ac:dyDescent="0.2">
      <c r="M466" s="11"/>
    </row>
    <row r="467" spans="13:13" ht="15.75" customHeight="1" x14ac:dyDescent="0.2">
      <c r="M467" s="11"/>
    </row>
    <row r="468" spans="13:13" ht="15.75" customHeight="1" x14ac:dyDescent="0.2">
      <c r="M468" s="11"/>
    </row>
    <row r="469" spans="13:13" ht="15.75" customHeight="1" x14ac:dyDescent="0.2">
      <c r="M469" s="11"/>
    </row>
    <row r="470" spans="13:13" ht="15.75" customHeight="1" x14ac:dyDescent="0.2">
      <c r="M470" s="11"/>
    </row>
    <row r="471" spans="13:13" ht="15.75" customHeight="1" x14ac:dyDescent="0.2">
      <c r="M471" s="11"/>
    </row>
    <row r="472" spans="13:13" ht="15.75" customHeight="1" x14ac:dyDescent="0.2">
      <c r="M472" s="11"/>
    </row>
    <row r="473" spans="13:13" ht="15.75" customHeight="1" x14ac:dyDescent="0.2">
      <c r="M473" s="11"/>
    </row>
    <row r="474" spans="13:13" ht="15.75" customHeight="1" x14ac:dyDescent="0.2">
      <c r="M474" s="11"/>
    </row>
    <row r="475" spans="13:13" ht="15.75" customHeight="1" x14ac:dyDescent="0.2">
      <c r="M475" s="11"/>
    </row>
    <row r="476" spans="13:13" ht="15.75" customHeight="1" x14ac:dyDescent="0.2">
      <c r="M476" s="11"/>
    </row>
    <row r="477" spans="13:13" ht="15.75" customHeight="1" x14ac:dyDescent="0.2">
      <c r="M477" s="11"/>
    </row>
    <row r="478" spans="13:13" ht="15.75" customHeight="1" x14ac:dyDescent="0.2">
      <c r="M478" s="11"/>
    </row>
    <row r="479" spans="13:13" ht="15.75" customHeight="1" x14ac:dyDescent="0.2">
      <c r="M479" s="11"/>
    </row>
    <row r="480" spans="13:13" ht="15.75" customHeight="1" x14ac:dyDescent="0.2">
      <c r="M480" s="11"/>
    </row>
    <row r="481" spans="13:13" ht="15.75" customHeight="1" x14ac:dyDescent="0.2">
      <c r="M481" s="11"/>
    </row>
    <row r="482" spans="13:13" ht="15.75" customHeight="1" x14ac:dyDescent="0.2">
      <c r="M482" s="11"/>
    </row>
    <row r="483" spans="13:13" ht="15.75" customHeight="1" x14ac:dyDescent="0.2">
      <c r="M483" s="11"/>
    </row>
    <row r="484" spans="13:13" ht="15.75" customHeight="1" x14ac:dyDescent="0.2">
      <c r="M484" s="11"/>
    </row>
    <row r="485" spans="13:13" ht="15.75" customHeight="1" x14ac:dyDescent="0.2">
      <c r="M485" s="11"/>
    </row>
    <row r="486" spans="13:13" ht="15.75" customHeight="1" x14ac:dyDescent="0.2">
      <c r="M486" s="11"/>
    </row>
    <row r="487" spans="13:13" ht="15.75" customHeight="1" x14ac:dyDescent="0.2">
      <c r="M487" s="11"/>
    </row>
    <row r="488" spans="13:13" ht="15.75" customHeight="1" x14ac:dyDescent="0.2">
      <c r="M488" s="11"/>
    </row>
    <row r="489" spans="13:13" ht="15.75" customHeight="1" x14ac:dyDescent="0.2">
      <c r="M489" s="11"/>
    </row>
    <row r="490" spans="13:13" ht="15.75" customHeight="1" x14ac:dyDescent="0.2">
      <c r="M490" s="11"/>
    </row>
    <row r="491" spans="13:13" ht="15.75" customHeight="1" x14ac:dyDescent="0.2">
      <c r="M491" s="11"/>
    </row>
    <row r="492" spans="13:13" ht="15.75" customHeight="1" x14ac:dyDescent="0.2">
      <c r="M492" s="11"/>
    </row>
    <row r="493" spans="13:13" ht="15.75" customHeight="1" x14ac:dyDescent="0.2">
      <c r="M493" s="11"/>
    </row>
    <row r="494" spans="13:13" ht="15.75" customHeight="1" x14ac:dyDescent="0.2">
      <c r="M494" s="11"/>
    </row>
    <row r="495" spans="13:13" ht="15.75" customHeight="1" x14ac:dyDescent="0.2">
      <c r="M495" s="11"/>
    </row>
    <row r="496" spans="13:13" ht="15.75" customHeight="1" x14ac:dyDescent="0.2">
      <c r="M496" s="11"/>
    </row>
    <row r="497" spans="13:13" ht="15.75" customHeight="1" x14ac:dyDescent="0.2">
      <c r="M497" s="11"/>
    </row>
    <row r="498" spans="13:13" ht="15.75" customHeight="1" x14ac:dyDescent="0.2">
      <c r="M498" s="11"/>
    </row>
    <row r="499" spans="13:13" ht="15.75" customHeight="1" x14ac:dyDescent="0.2">
      <c r="M499" s="11"/>
    </row>
    <row r="500" spans="13:13" ht="15.75" customHeight="1" x14ac:dyDescent="0.2">
      <c r="M500" s="11"/>
    </row>
    <row r="501" spans="13:13" ht="15.75" customHeight="1" x14ac:dyDescent="0.2">
      <c r="M501" s="11"/>
    </row>
    <row r="502" spans="13:13" ht="15.75" customHeight="1" x14ac:dyDescent="0.2">
      <c r="M502" s="11"/>
    </row>
    <row r="503" spans="13:13" ht="15.75" customHeight="1" x14ac:dyDescent="0.2">
      <c r="M503" s="11"/>
    </row>
    <row r="504" spans="13:13" ht="15.75" customHeight="1" x14ac:dyDescent="0.2">
      <c r="M504" s="11"/>
    </row>
    <row r="505" spans="13:13" ht="15.75" customHeight="1" x14ac:dyDescent="0.2">
      <c r="M505" s="11"/>
    </row>
    <row r="506" spans="13:13" ht="15.75" customHeight="1" x14ac:dyDescent="0.2">
      <c r="M506" s="11"/>
    </row>
    <row r="507" spans="13:13" ht="15.75" customHeight="1" x14ac:dyDescent="0.2">
      <c r="M507" s="11"/>
    </row>
    <row r="508" spans="13:13" ht="15.75" customHeight="1" x14ac:dyDescent="0.2">
      <c r="M508" s="11"/>
    </row>
    <row r="509" spans="13:13" ht="15.75" customHeight="1" x14ac:dyDescent="0.2">
      <c r="M509" s="11"/>
    </row>
    <row r="510" spans="13:13" ht="15.75" customHeight="1" x14ac:dyDescent="0.2">
      <c r="M510" s="11"/>
    </row>
    <row r="511" spans="13:13" ht="15.75" customHeight="1" x14ac:dyDescent="0.2">
      <c r="M511" s="11"/>
    </row>
    <row r="512" spans="13:13" ht="15.75" customHeight="1" x14ac:dyDescent="0.2">
      <c r="M512" s="11"/>
    </row>
    <row r="513" spans="13:13" ht="15.75" customHeight="1" x14ac:dyDescent="0.2">
      <c r="M513" s="11"/>
    </row>
    <row r="514" spans="13:13" ht="15.75" customHeight="1" x14ac:dyDescent="0.2">
      <c r="M514" s="11"/>
    </row>
    <row r="515" spans="13:13" ht="15.75" customHeight="1" x14ac:dyDescent="0.2">
      <c r="M515" s="11"/>
    </row>
    <row r="516" spans="13:13" ht="15.75" customHeight="1" x14ac:dyDescent="0.2">
      <c r="M516" s="11"/>
    </row>
    <row r="517" spans="13:13" ht="15.75" customHeight="1" x14ac:dyDescent="0.2">
      <c r="M517" s="11"/>
    </row>
    <row r="518" spans="13:13" ht="15.75" customHeight="1" x14ac:dyDescent="0.2">
      <c r="M518" s="11"/>
    </row>
    <row r="519" spans="13:13" ht="15.75" customHeight="1" x14ac:dyDescent="0.2">
      <c r="M519" s="11"/>
    </row>
    <row r="520" spans="13:13" ht="15.75" customHeight="1" x14ac:dyDescent="0.2">
      <c r="M520" s="11"/>
    </row>
    <row r="521" spans="13:13" ht="15.75" customHeight="1" x14ac:dyDescent="0.2">
      <c r="M521" s="11"/>
    </row>
    <row r="522" spans="13:13" ht="15.75" customHeight="1" x14ac:dyDescent="0.2">
      <c r="M522" s="11"/>
    </row>
    <row r="523" spans="13:13" ht="15.75" customHeight="1" x14ac:dyDescent="0.2">
      <c r="M523" s="11"/>
    </row>
    <row r="524" spans="13:13" ht="15.75" customHeight="1" x14ac:dyDescent="0.2">
      <c r="M524" s="11"/>
    </row>
    <row r="525" spans="13:13" ht="15.75" customHeight="1" x14ac:dyDescent="0.2">
      <c r="M525" s="11"/>
    </row>
    <row r="526" spans="13:13" ht="15.75" customHeight="1" x14ac:dyDescent="0.2">
      <c r="M526" s="11"/>
    </row>
    <row r="527" spans="13:13" ht="15.75" customHeight="1" x14ac:dyDescent="0.2">
      <c r="M527" s="11"/>
    </row>
    <row r="528" spans="13:13" ht="15.75" customHeight="1" x14ac:dyDescent="0.2">
      <c r="M528" s="11"/>
    </row>
    <row r="529" spans="13:13" ht="15.75" customHeight="1" x14ac:dyDescent="0.2">
      <c r="M529" s="11"/>
    </row>
    <row r="530" spans="13:13" ht="15.75" customHeight="1" x14ac:dyDescent="0.2">
      <c r="M530" s="11"/>
    </row>
    <row r="531" spans="13:13" ht="15.75" customHeight="1" x14ac:dyDescent="0.2">
      <c r="M531" s="11"/>
    </row>
    <row r="532" spans="13:13" ht="15.75" customHeight="1" x14ac:dyDescent="0.2">
      <c r="M532" s="11"/>
    </row>
    <row r="533" spans="13:13" ht="15.75" customHeight="1" x14ac:dyDescent="0.2">
      <c r="M533" s="11"/>
    </row>
    <row r="534" spans="13:13" ht="15.75" customHeight="1" x14ac:dyDescent="0.2">
      <c r="M534" s="11"/>
    </row>
    <row r="535" spans="13:13" ht="15.75" customHeight="1" x14ac:dyDescent="0.2">
      <c r="M535" s="11"/>
    </row>
    <row r="536" spans="13:13" ht="15.75" customHeight="1" x14ac:dyDescent="0.2">
      <c r="M536" s="11"/>
    </row>
    <row r="537" spans="13:13" ht="15.75" customHeight="1" x14ac:dyDescent="0.2">
      <c r="M537" s="11"/>
    </row>
    <row r="538" spans="13:13" ht="15.75" customHeight="1" x14ac:dyDescent="0.2">
      <c r="M538" s="11"/>
    </row>
    <row r="539" spans="13:13" ht="15.75" customHeight="1" x14ac:dyDescent="0.2">
      <c r="M539" s="11"/>
    </row>
    <row r="540" spans="13:13" ht="15.75" customHeight="1" x14ac:dyDescent="0.2">
      <c r="M540" s="11"/>
    </row>
    <row r="541" spans="13:13" ht="15.75" customHeight="1" x14ac:dyDescent="0.2">
      <c r="M541" s="11"/>
    </row>
    <row r="542" spans="13:13" ht="15.75" customHeight="1" x14ac:dyDescent="0.2">
      <c r="M542" s="11"/>
    </row>
    <row r="543" spans="13:13" ht="15.75" customHeight="1" x14ac:dyDescent="0.2">
      <c r="M543" s="11"/>
    </row>
    <row r="544" spans="13:13" ht="15.75" customHeight="1" x14ac:dyDescent="0.2">
      <c r="M544" s="11"/>
    </row>
    <row r="545" spans="13:13" ht="15.75" customHeight="1" x14ac:dyDescent="0.2">
      <c r="M545" s="11"/>
    </row>
    <row r="546" spans="13:13" ht="15.75" customHeight="1" x14ac:dyDescent="0.2">
      <c r="M546" s="11"/>
    </row>
    <row r="547" spans="13:13" ht="15.75" customHeight="1" x14ac:dyDescent="0.2">
      <c r="M547" s="11"/>
    </row>
    <row r="548" spans="13:13" ht="15.75" customHeight="1" x14ac:dyDescent="0.2">
      <c r="M548" s="11"/>
    </row>
    <row r="549" spans="13:13" ht="15.75" customHeight="1" x14ac:dyDescent="0.2">
      <c r="M549" s="11"/>
    </row>
    <row r="550" spans="13:13" ht="15.75" customHeight="1" x14ac:dyDescent="0.2">
      <c r="M550" s="11"/>
    </row>
    <row r="551" spans="13:13" ht="15.75" customHeight="1" x14ac:dyDescent="0.2">
      <c r="M551" s="11"/>
    </row>
    <row r="552" spans="13:13" ht="15.75" customHeight="1" x14ac:dyDescent="0.2">
      <c r="M552" s="11"/>
    </row>
    <row r="553" spans="13:13" ht="15.75" customHeight="1" x14ac:dyDescent="0.2">
      <c r="M553" s="11"/>
    </row>
    <row r="554" spans="13:13" ht="15.75" customHeight="1" x14ac:dyDescent="0.2">
      <c r="M554" s="11"/>
    </row>
    <row r="555" spans="13:13" ht="15.75" customHeight="1" x14ac:dyDescent="0.2">
      <c r="M555" s="11"/>
    </row>
    <row r="556" spans="13:13" ht="15.75" customHeight="1" x14ac:dyDescent="0.2">
      <c r="M556" s="11"/>
    </row>
    <row r="557" spans="13:13" ht="15.75" customHeight="1" x14ac:dyDescent="0.2">
      <c r="M557" s="11"/>
    </row>
    <row r="558" spans="13:13" ht="15.75" customHeight="1" x14ac:dyDescent="0.2">
      <c r="M558" s="11"/>
    </row>
    <row r="559" spans="13:13" ht="15.75" customHeight="1" x14ac:dyDescent="0.2">
      <c r="M559" s="11"/>
    </row>
    <row r="560" spans="13:13" ht="15.75" customHeight="1" x14ac:dyDescent="0.2">
      <c r="M560" s="11"/>
    </row>
    <row r="561" spans="13:13" ht="15.75" customHeight="1" x14ac:dyDescent="0.2">
      <c r="M561" s="11"/>
    </row>
    <row r="562" spans="13:13" ht="15.75" customHeight="1" x14ac:dyDescent="0.2">
      <c r="M562" s="11"/>
    </row>
    <row r="563" spans="13:13" ht="15.75" customHeight="1" x14ac:dyDescent="0.2">
      <c r="M563" s="11"/>
    </row>
    <row r="564" spans="13:13" ht="15.75" customHeight="1" x14ac:dyDescent="0.2">
      <c r="M564" s="11"/>
    </row>
    <row r="565" spans="13:13" ht="15.75" customHeight="1" x14ac:dyDescent="0.2">
      <c r="M565" s="11"/>
    </row>
    <row r="566" spans="13:13" ht="15.75" customHeight="1" x14ac:dyDescent="0.2">
      <c r="M566" s="11"/>
    </row>
    <row r="567" spans="13:13" ht="15.75" customHeight="1" x14ac:dyDescent="0.2">
      <c r="M567" s="11"/>
    </row>
    <row r="568" spans="13:13" ht="15.75" customHeight="1" x14ac:dyDescent="0.2">
      <c r="M568" s="11"/>
    </row>
    <row r="569" spans="13:13" ht="15.75" customHeight="1" x14ac:dyDescent="0.2">
      <c r="M569" s="11"/>
    </row>
    <row r="570" spans="13:13" ht="15.75" customHeight="1" x14ac:dyDescent="0.2">
      <c r="M570" s="11"/>
    </row>
    <row r="571" spans="13:13" ht="15.75" customHeight="1" x14ac:dyDescent="0.2">
      <c r="M571" s="11"/>
    </row>
    <row r="572" spans="13:13" ht="15.75" customHeight="1" x14ac:dyDescent="0.2">
      <c r="M572" s="11"/>
    </row>
    <row r="573" spans="13:13" ht="15.75" customHeight="1" x14ac:dyDescent="0.2">
      <c r="M573" s="11"/>
    </row>
    <row r="574" spans="13:13" ht="15.75" customHeight="1" x14ac:dyDescent="0.2">
      <c r="M574" s="11"/>
    </row>
    <row r="575" spans="13:13" ht="15.75" customHeight="1" x14ac:dyDescent="0.2">
      <c r="M575" s="11"/>
    </row>
    <row r="576" spans="13:13" ht="15.75" customHeight="1" x14ac:dyDescent="0.2">
      <c r="M576" s="11"/>
    </row>
    <row r="577" spans="13:13" ht="15.75" customHeight="1" x14ac:dyDescent="0.2">
      <c r="M577" s="11"/>
    </row>
    <row r="578" spans="13:13" ht="15.75" customHeight="1" x14ac:dyDescent="0.2">
      <c r="M578" s="11"/>
    </row>
    <row r="579" spans="13:13" ht="15.75" customHeight="1" x14ac:dyDescent="0.2">
      <c r="M579" s="11"/>
    </row>
    <row r="580" spans="13:13" ht="15.75" customHeight="1" x14ac:dyDescent="0.2">
      <c r="M580" s="11"/>
    </row>
    <row r="581" spans="13:13" ht="15.75" customHeight="1" x14ac:dyDescent="0.2">
      <c r="M581" s="11"/>
    </row>
    <row r="582" spans="13:13" ht="15.75" customHeight="1" x14ac:dyDescent="0.2">
      <c r="M582" s="11"/>
    </row>
    <row r="583" spans="13:13" ht="15.75" customHeight="1" x14ac:dyDescent="0.2">
      <c r="M583" s="11"/>
    </row>
    <row r="584" spans="13:13" ht="15.75" customHeight="1" x14ac:dyDescent="0.2">
      <c r="M584" s="11"/>
    </row>
    <row r="585" spans="13:13" ht="15.75" customHeight="1" x14ac:dyDescent="0.2">
      <c r="M585" s="11"/>
    </row>
    <row r="586" spans="13:13" ht="15.75" customHeight="1" x14ac:dyDescent="0.2">
      <c r="M586" s="11"/>
    </row>
    <row r="587" spans="13:13" ht="15.75" customHeight="1" x14ac:dyDescent="0.2">
      <c r="M587" s="11"/>
    </row>
    <row r="588" spans="13:13" ht="15.75" customHeight="1" x14ac:dyDescent="0.2">
      <c r="M588" s="11"/>
    </row>
    <row r="589" spans="13:13" ht="15.75" customHeight="1" x14ac:dyDescent="0.2">
      <c r="M589" s="11"/>
    </row>
    <row r="590" spans="13:13" ht="15.75" customHeight="1" x14ac:dyDescent="0.2">
      <c r="M590" s="11"/>
    </row>
    <row r="591" spans="13:13" ht="15.75" customHeight="1" x14ac:dyDescent="0.2">
      <c r="M591" s="11"/>
    </row>
    <row r="592" spans="13:13" ht="15.75" customHeight="1" x14ac:dyDescent="0.2">
      <c r="M592" s="11"/>
    </row>
    <row r="593" spans="13:13" ht="15.75" customHeight="1" x14ac:dyDescent="0.2">
      <c r="M593" s="11"/>
    </row>
    <row r="594" spans="13:13" ht="15.75" customHeight="1" x14ac:dyDescent="0.2">
      <c r="M594" s="11"/>
    </row>
    <row r="595" spans="13:13" ht="15.75" customHeight="1" x14ac:dyDescent="0.2">
      <c r="M595" s="11"/>
    </row>
    <row r="596" spans="13:13" ht="15.75" customHeight="1" x14ac:dyDescent="0.2">
      <c r="M596" s="11"/>
    </row>
    <row r="597" spans="13:13" ht="15.75" customHeight="1" x14ac:dyDescent="0.2">
      <c r="M597" s="11"/>
    </row>
    <row r="598" spans="13:13" ht="15.75" customHeight="1" x14ac:dyDescent="0.2">
      <c r="M598" s="11"/>
    </row>
    <row r="599" spans="13:13" ht="15.75" customHeight="1" x14ac:dyDescent="0.2">
      <c r="M599" s="11"/>
    </row>
    <row r="600" spans="13:13" ht="15.75" customHeight="1" x14ac:dyDescent="0.2">
      <c r="M600" s="11"/>
    </row>
    <row r="601" spans="13:13" ht="15.75" customHeight="1" x14ac:dyDescent="0.2">
      <c r="M601" s="11"/>
    </row>
    <row r="602" spans="13:13" ht="15.75" customHeight="1" x14ac:dyDescent="0.2">
      <c r="M602" s="11"/>
    </row>
    <row r="603" spans="13:13" ht="15.75" customHeight="1" x14ac:dyDescent="0.2">
      <c r="M603" s="11"/>
    </row>
    <row r="604" spans="13:13" ht="15.75" customHeight="1" x14ac:dyDescent="0.2">
      <c r="M604" s="11"/>
    </row>
    <row r="605" spans="13:13" ht="15.75" customHeight="1" x14ac:dyDescent="0.2">
      <c r="M605" s="11"/>
    </row>
    <row r="606" spans="13:13" ht="15.75" customHeight="1" x14ac:dyDescent="0.2">
      <c r="M606" s="11"/>
    </row>
    <row r="607" spans="13:13" ht="15.75" customHeight="1" x14ac:dyDescent="0.2">
      <c r="M607" s="11"/>
    </row>
    <row r="608" spans="13:13" ht="15.75" customHeight="1" x14ac:dyDescent="0.2">
      <c r="M608" s="11"/>
    </row>
    <row r="609" spans="13:13" ht="15.75" customHeight="1" x14ac:dyDescent="0.2">
      <c r="M609" s="11"/>
    </row>
    <row r="610" spans="13:13" ht="15.75" customHeight="1" x14ac:dyDescent="0.2">
      <c r="M610" s="11"/>
    </row>
    <row r="611" spans="13:13" ht="15.75" customHeight="1" x14ac:dyDescent="0.2">
      <c r="M611" s="11"/>
    </row>
    <row r="612" spans="13:13" ht="15.75" customHeight="1" x14ac:dyDescent="0.2">
      <c r="M612" s="11"/>
    </row>
    <row r="613" spans="13:13" ht="15.75" customHeight="1" x14ac:dyDescent="0.2">
      <c r="M613" s="11"/>
    </row>
    <row r="614" spans="13:13" ht="15.75" customHeight="1" x14ac:dyDescent="0.2">
      <c r="M614" s="11"/>
    </row>
    <row r="615" spans="13:13" ht="15.75" customHeight="1" x14ac:dyDescent="0.2">
      <c r="M615" s="11"/>
    </row>
    <row r="616" spans="13:13" ht="15.75" customHeight="1" x14ac:dyDescent="0.2">
      <c r="M616" s="11"/>
    </row>
    <row r="617" spans="13:13" ht="15.75" customHeight="1" x14ac:dyDescent="0.2">
      <c r="M617" s="11"/>
    </row>
    <row r="618" spans="13:13" ht="15.75" customHeight="1" x14ac:dyDescent="0.2">
      <c r="M618" s="11"/>
    </row>
    <row r="619" spans="13:13" ht="15.75" customHeight="1" x14ac:dyDescent="0.2">
      <c r="M619" s="11"/>
    </row>
    <row r="620" spans="13:13" ht="15.75" customHeight="1" x14ac:dyDescent="0.2">
      <c r="M620" s="11"/>
    </row>
    <row r="621" spans="13:13" ht="15.75" customHeight="1" x14ac:dyDescent="0.2">
      <c r="M621" s="11"/>
    </row>
    <row r="622" spans="13:13" ht="15.75" customHeight="1" x14ac:dyDescent="0.2">
      <c r="M622" s="11"/>
    </row>
    <row r="623" spans="13:13" ht="15.75" customHeight="1" x14ac:dyDescent="0.2">
      <c r="M623" s="11"/>
    </row>
    <row r="624" spans="13:13" ht="15.75" customHeight="1" x14ac:dyDescent="0.2">
      <c r="M624" s="11"/>
    </row>
    <row r="625" spans="13:13" ht="15.75" customHeight="1" x14ac:dyDescent="0.2">
      <c r="M625" s="11"/>
    </row>
    <row r="626" spans="13:13" ht="15.75" customHeight="1" x14ac:dyDescent="0.2">
      <c r="M626" s="11"/>
    </row>
    <row r="627" spans="13:13" ht="15.75" customHeight="1" x14ac:dyDescent="0.2">
      <c r="M627" s="11"/>
    </row>
    <row r="628" spans="13:13" ht="15.75" customHeight="1" x14ac:dyDescent="0.2">
      <c r="M628" s="11"/>
    </row>
    <row r="629" spans="13:13" ht="15.75" customHeight="1" x14ac:dyDescent="0.2">
      <c r="M629" s="11"/>
    </row>
    <row r="630" spans="13:13" ht="15.75" customHeight="1" x14ac:dyDescent="0.2">
      <c r="M630" s="11"/>
    </row>
    <row r="631" spans="13:13" ht="15.75" customHeight="1" x14ac:dyDescent="0.2">
      <c r="M631" s="11"/>
    </row>
    <row r="632" spans="13:13" ht="15.75" customHeight="1" x14ac:dyDescent="0.2">
      <c r="M632" s="11"/>
    </row>
    <row r="633" spans="13:13" ht="15.75" customHeight="1" x14ac:dyDescent="0.2">
      <c r="M633" s="11"/>
    </row>
    <row r="634" spans="13:13" ht="15.75" customHeight="1" x14ac:dyDescent="0.2">
      <c r="M634" s="11"/>
    </row>
    <row r="635" spans="13:13" ht="15.75" customHeight="1" x14ac:dyDescent="0.2">
      <c r="M635" s="11"/>
    </row>
    <row r="636" spans="13:13" ht="15.75" customHeight="1" x14ac:dyDescent="0.2">
      <c r="M636" s="11"/>
    </row>
    <row r="637" spans="13:13" ht="15.75" customHeight="1" x14ac:dyDescent="0.2">
      <c r="M637" s="11"/>
    </row>
    <row r="638" spans="13:13" ht="15.75" customHeight="1" x14ac:dyDescent="0.2">
      <c r="M638" s="11"/>
    </row>
    <row r="639" spans="13:13" ht="15.75" customHeight="1" x14ac:dyDescent="0.2">
      <c r="M639" s="11"/>
    </row>
    <row r="640" spans="13:13" ht="15.75" customHeight="1" x14ac:dyDescent="0.2">
      <c r="M640" s="11"/>
    </row>
    <row r="641" spans="13:13" ht="15.75" customHeight="1" x14ac:dyDescent="0.2">
      <c r="M641" s="11"/>
    </row>
    <row r="642" spans="13:13" ht="15.75" customHeight="1" x14ac:dyDescent="0.2">
      <c r="M642" s="11"/>
    </row>
    <row r="643" spans="13:13" ht="15.75" customHeight="1" x14ac:dyDescent="0.2">
      <c r="M643" s="11"/>
    </row>
    <row r="644" spans="13:13" ht="15.75" customHeight="1" x14ac:dyDescent="0.2">
      <c r="M644" s="11"/>
    </row>
    <row r="645" spans="13:13" ht="15.75" customHeight="1" x14ac:dyDescent="0.2">
      <c r="M645" s="11"/>
    </row>
    <row r="646" spans="13:13" ht="15.75" customHeight="1" x14ac:dyDescent="0.2">
      <c r="M646" s="11"/>
    </row>
    <row r="647" spans="13:13" ht="15.75" customHeight="1" x14ac:dyDescent="0.2">
      <c r="M647" s="11"/>
    </row>
    <row r="648" spans="13:13" ht="15.75" customHeight="1" x14ac:dyDescent="0.2">
      <c r="M648" s="11"/>
    </row>
    <row r="649" spans="13:13" ht="15.75" customHeight="1" x14ac:dyDescent="0.2">
      <c r="M649" s="11"/>
    </row>
    <row r="650" spans="13:13" ht="15.75" customHeight="1" x14ac:dyDescent="0.2">
      <c r="M650" s="11"/>
    </row>
    <row r="651" spans="13:13" ht="15.75" customHeight="1" x14ac:dyDescent="0.2">
      <c r="M651" s="11"/>
    </row>
    <row r="652" spans="13:13" ht="15.75" customHeight="1" x14ac:dyDescent="0.2">
      <c r="M652" s="11"/>
    </row>
    <row r="653" spans="13:13" ht="15.75" customHeight="1" x14ac:dyDescent="0.2">
      <c r="M653" s="11"/>
    </row>
    <row r="654" spans="13:13" ht="15.75" customHeight="1" x14ac:dyDescent="0.2">
      <c r="M654" s="11"/>
    </row>
    <row r="655" spans="13:13" ht="15.75" customHeight="1" x14ac:dyDescent="0.2">
      <c r="M655" s="11"/>
    </row>
    <row r="656" spans="13:13" ht="15.75" customHeight="1" x14ac:dyDescent="0.2">
      <c r="M656" s="11"/>
    </row>
    <row r="657" spans="13:13" ht="15.75" customHeight="1" x14ac:dyDescent="0.2">
      <c r="M657" s="11"/>
    </row>
    <row r="658" spans="13:13" ht="15.75" customHeight="1" x14ac:dyDescent="0.2">
      <c r="M658" s="11"/>
    </row>
    <row r="659" spans="13:13" ht="15.75" customHeight="1" x14ac:dyDescent="0.2">
      <c r="M659" s="11"/>
    </row>
    <row r="660" spans="13:13" ht="15.75" customHeight="1" x14ac:dyDescent="0.2">
      <c r="M660" s="11"/>
    </row>
    <row r="661" spans="13:13" ht="15.75" customHeight="1" x14ac:dyDescent="0.2">
      <c r="M661" s="11"/>
    </row>
    <row r="662" spans="13:13" ht="15.75" customHeight="1" x14ac:dyDescent="0.2">
      <c r="M662" s="11"/>
    </row>
    <row r="663" spans="13:13" ht="15.75" customHeight="1" x14ac:dyDescent="0.2">
      <c r="M663" s="11"/>
    </row>
    <row r="664" spans="13:13" ht="15.75" customHeight="1" x14ac:dyDescent="0.2">
      <c r="M664" s="11"/>
    </row>
    <row r="665" spans="13:13" ht="15.75" customHeight="1" x14ac:dyDescent="0.2">
      <c r="M665" s="11"/>
    </row>
    <row r="666" spans="13:13" ht="15.75" customHeight="1" x14ac:dyDescent="0.2">
      <c r="M666" s="11"/>
    </row>
    <row r="667" spans="13:13" ht="15.75" customHeight="1" x14ac:dyDescent="0.2">
      <c r="M667" s="11"/>
    </row>
    <row r="668" spans="13:13" ht="15.75" customHeight="1" x14ac:dyDescent="0.2">
      <c r="M668" s="11"/>
    </row>
    <row r="669" spans="13:13" ht="15.75" customHeight="1" x14ac:dyDescent="0.2">
      <c r="M669" s="11"/>
    </row>
    <row r="670" spans="13:13" ht="15.75" customHeight="1" x14ac:dyDescent="0.2">
      <c r="M670" s="11"/>
    </row>
    <row r="671" spans="13:13" ht="15.75" customHeight="1" x14ac:dyDescent="0.2">
      <c r="M671" s="11"/>
    </row>
    <row r="672" spans="13:13" ht="15.75" customHeight="1" x14ac:dyDescent="0.2">
      <c r="M672" s="11"/>
    </row>
    <row r="673" spans="13:13" ht="15.75" customHeight="1" x14ac:dyDescent="0.2">
      <c r="M673" s="11"/>
    </row>
    <row r="674" spans="13:13" ht="15.75" customHeight="1" x14ac:dyDescent="0.2">
      <c r="M674" s="11"/>
    </row>
    <row r="675" spans="13:13" ht="15.75" customHeight="1" x14ac:dyDescent="0.2">
      <c r="M675" s="11"/>
    </row>
    <row r="676" spans="13:13" ht="15.75" customHeight="1" x14ac:dyDescent="0.2">
      <c r="M676" s="11"/>
    </row>
    <row r="677" spans="13:13" ht="15.75" customHeight="1" x14ac:dyDescent="0.2">
      <c r="M677" s="11"/>
    </row>
    <row r="678" spans="13:13" ht="15.75" customHeight="1" x14ac:dyDescent="0.2">
      <c r="M678" s="11"/>
    </row>
    <row r="679" spans="13:13" ht="15.75" customHeight="1" x14ac:dyDescent="0.2">
      <c r="M679" s="11"/>
    </row>
    <row r="680" spans="13:13" ht="15.75" customHeight="1" x14ac:dyDescent="0.2">
      <c r="M680" s="11"/>
    </row>
    <row r="681" spans="13:13" ht="15.75" customHeight="1" x14ac:dyDescent="0.2">
      <c r="M681" s="11"/>
    </row>
    <row r="682" spans="13:13" ht="15.75" customHeight="1" x14ac:dyDescent="0.2">
      <c r="M682" s="11"/>
    </row>
    <row r="683" spans="13:13" ht="15.75" customHeight="1" x14ac:dyDescent="0.2">
      <c r="M683" s="11"/>
    </row>
    <row r="684" spans="13:13" ht="15.75" customHeight="1" x14ac:dyDescent="0.2">
      <c r="M684" s="11"/>
    </row>
    <row r="685" spans="13:13" ht="15.75" customHeight="1" x14ac:dyDescent="0.2">
      <c r="M685" s="11"/>
    </row>
    <row r="686" spans="13:13" ht="15.75" customHeight="1" x14ac:dyDescent="0.2">
      <c r="M686" s="11"/>
    </row>
    <row r="687" spans="13:13" ht="15.75" customHeight="1" x14ac:dyDescent="0.2">
      <c r="M687" s="11"/>
    </row>
    <row r="688" spans="13:13" ht="15.75" customHeight="1" x14ac:dyDescent="0.2">
      <c r="M688" s="11"/>
    </row>
    <row r="689" spans="13:13" ht="15.75" customHeight="1" x14ac:dyDescent="0.2">
      <c r="M689" s="11"/>
    </row>
    <row r="690" spans="13:13" ht="15.75" customHeight="1" x14ac:dyDescent="0.2">
      <c r="M690" s="11"/>
    </row>
    <row r="691" spans="13:13" ht="15.75" customHeight="1" x14ac:dyDescent="0.2">
      <c r="M691" s="11"/>
    </row>
    <row r="692" spans="13:13" ht="15.75" customHeight="1" x14ac:dyDescent="0.2">
      <c r="M692" s="11"/>
    </row>
    <row r="693" spans="13:13" ht="15.75" customHeight="1" x14ac:dyDescent="0.2">
      <c r="M693" s="11"/>
    </row>
    <row r="694" spans="13:13" ht="15.75" customHeight="1" x14ac:dyDescent="0.2">
      <c r="M694" s="11"/>
    </row>
    <row r="695" spans="13:13" ht="15.75" customHeight="1" x14ac:dyDescent="0.2">
      <c r="M695" s="11"/>
    </row>
    <row r="696" spans="13:13" ht="15.75" customHeight="1" x14ac:dyDescent="0.2">
      <c r="M696" s="11"/>
    </row>
    <row r="697" spans="13:13" ht="15.75" customHeight="1" x14ac:dyDescent="0.2">
      <c r="M697" s="11"/>
    </row>
    <row r="698" spans="13:13" ht="15.75" customHeight="1" x14ac:dyDescent="0.2">
      <c r="M698" s="11"/>
    </row>
    <row r="699" spans="13:13" ht="15.75" customHeight="1" x14ac:dyDescent="0.2">
      <c r="M699" s="11"/>
    </row>
    <row r="700" spans="13:13" ht="15.75" customHeight="1" x14ac:dyDescent="0.2">
      <c r="M700" s="11"/>
    </row>
    <row r="701" spans="13:13" ht="15.75" customHeight="1" x14ac:dyDescent="0.2">
      <c r="M701" s="11"/>
    </row>
    <row r="702" spans="13:13" ht="15.75" customHeight="1" x14ac:dyDescent="0.2">
      <c r="M702" s="11"/>
    </row>
    <row r="703" spans="13:13" ht="15.75" customHeight="1" x14ac:dyDescent="0.2">
      <c r="M703" s="11"/>
    </row>
    <row r="704" spans="13:13" ht="15.75" customHeight="1" x14ac:dyDescent="0.2">
      <c r="M704" s="11"/>
    </row>
    <row r="705" spans="13:13" ht="15.75" customHeight="1" x14ac:dyDescent="0.2">
      <c r="M705" s="11"/>
    </row>
    <row r="706" spans="13:13" ht="15.75" customHeight="1" x14ac:dyDescent="0.2">
      <c r="M706" s="11"/>
    </row>
    <row r="707" spans="13:13" ht="15.75" customHeight="1" x14ac:dyDescent="0.2">
      <c r="M707" s="11"/>
    </row>
    <row r="708" spans="13:13" ht="15.75" customHeight="1" x14ac:dyDescent="0.2">
      <c r="M708" s="11"/>
    </row>
    <row r="709" spans="13:13" ht="15.75" customHeight="1" x14ac:dyDescent="0.2">
      <c r="M709" s="11"/>
    </row>
    <row r="710" spans="13:13" ht="15.75" customHeight="1" x14ac:dyDescent="0.2">
      <c r="M710" s="11"/>
    </row>
    <row r="711" spans="13:13" ht="15.75" customHeight="1" x14ac:dyDescent="0.2">
      <c r="M711" s="11"/>
    </row>
    <row r="712" spans="13:13" ht="15.75" customHeight="1" x14ac:dyDescent="0.2">
      <c r="M712" s="11"/>
    </row>
    <row r="713" spans="13:13" ht="15.75" customHeight="1" x14ac:dyDescent="0.2">
      <c r="M713" s="11"/>
    </row>
    <row r="714" spans="13:13" ht="15.75" customHeight="1" x14ac:dyDescent="0.2">
      <c r="M714" s="11"/>
    </row>
    <row r="715" spans="13:13" ht="15.75" customHeight="1" x14ac:dyDescent="0.2">
      <c r="M715" s="11"/>
    </row>
    <row r="716" spans="13:13" ht="15.75" customHeight="1" x14ac:dyDescent="0.2">
      <c r="M716" s="11"/>
    </row>
    <row r="717" spans="13:13" ht="15.75" customHeight="1" x14ac:dyDescent="0.2">
      <c r="M717" s="11"/>
    </row>
    <row r="718" spans="13:13" ht="15.75" customHeight="1" x14ac:dyDescent="0.2">
      <c r="M718" s="11"/>
    </row>
    <row r="719" spans="13:13" ht="15.75" customHeight="1" x14ac:dyDescent="0.2">
      <c r="M719" s="11"/>
    </row>
    <row r="720" spans="13:13" ht="15.75" customHeight="1" x14ac:dyDescent="0.2">
      <c r="M720" s="11"/>
    </row>
    <row r="721" spans="13:13" ht="15.75" customHeight="1" x14ac:dyDescent="0.2">
      <c r="M721" s="11"/>
    </row>
    <row r="722" spans="13:13" ht="15.75" customHeight="1" x14ac:dyDescent="0.2">
      <c r="M722" s="11"/>
    </row>
    <row r="723" spans="13:13" ht="15.75" customHeight="1" x14ac:dyDescent="0.2">
      <c r="M723" s="11"/>
    </row>
    <row r="724" spans="13:13" ht="15.75" customHeight="1" x14ac:dyDescent="0.2">
      <c r="M724" s="11"/>
    </row>
    <row r="725" spans="13:13" ht="15.75" customHeight="1" x14ac:dyDescent="0.2">
      <c r="M725" s="11"/>
    </row>
    <row r="726" spans="13:13" ht="15.75" customHeight="1" x14ac:dyDescent="0.2">
      <c r="M726" s="11"/>
    </row>
    <row r="727" spans="13:13" ht="15.75" customHeight="1" x14ac:dyDescent="0.2">
      <c r="M727" s="11"/>
    </row>
    <row r="728" spans="13:13" ht="15.75" customHeight="1" x14ac:dyDescent="0.2">
      <c r="M728" s="11"/>
    </row>
    <row r="729" spans="13:13" ht="15.75" customHeight="1" x14ac:dyDescent="0.2">
      <c r="M729" s="11"/>
    </row>
    <row r="730" spans="13:13" ht="15.75" customHeight="1" x14ac:dyDescent="0.2">
      <c r="M730" s="11"/>
    </row>
    <row r="731" spans="13:13" ht="15.75" customHeight="1" x14ac:dyDescent="0.2">
      <c r="M731" s="11"/>
    </row>
    <row r="732" spans="13:13" ht="15.75" customHeight="1" x14ac:dyDescent="0.2">
      <c r="M732" s="11"/>
    </row>
    <row r="733" spans="13:13" ht="15.75" customHeight="1" x14ac:dyDescent="0.2">
      <c r="M733" s="11"/>
    </row>
    <row r="734" spans="13:13" ht="15.75" customHeight="1" x14ac:dyDescent="0.2">
      <c r="M734" s="11"/>
    </row>
    <row r="735" spans="13:13" ht="15.75" customHeight="1" x14ac:dyDescent="0.2">
      <c r="M735" s="11"/>
    </row>
    <row r="736" spans="13:13" ht="15.75" customHeight="1" x14ac:dyDescent="0.2">
      <c r="M736" s="11"/>
    </row>
    <row r="737" spans="13:13" ht="15.75" customHeight="1" x14ac:dyDescent="0.2">
      <c r="M737" s="11"/>
    </row>
    <row r="738" spans="13:13" ht="15.75" customHeight="1" x14ac:dyDescent="0.2">
      <c r="M738" s="11"/>
    </row>
    <row r="739" spans="13:13" ht="15.75" customHeight="1" x14ac:dyDescent="0.2">
      <c r="M739" s="11"/>
    </row>
    <row r="740" spans="13:13" ht="15.75" customHeight="1" x14ac:dyDescent="0.2">
      <c r="M740" s="11"/>
    </row>
    <row r="741" spans="13:13" ht="15.75" customHeight="1" x14ac:dyDescent="0.2">
      <c r="M741" s="11"/>
    </row>
    <row r="742" spans="13:13" ht="15.75" customHeight="1" x14ac:dyDescent="0.2">
      <c r="M742" s="11"/>
    </row>
    <row r="743" spans="13:13" ht="15.75" customHeight="1" x14ac:dyDescent="0.2">
      <c r="M743" s="11"/>
    </row>
    <row r="744" spans="13:13" ht="15.75" customHeight="1" x14ac:dyDescent="0.2">
      <c r="M744" s="11"/>
    </row>
    <row r="745" spans="13:13" ht="15.75" customHeight="1" x14ac:dyDescent="0.2">
      <c r="M745" s="11"/>
    </row>
    <row r="746" spans="13:13" ht="15.75" customHeight="1" x14ac:dyDescent="0.2">
      <c r="M746" s="11"/>
    </row>
    <row r="747" spans="13:13" ht="15.75" customHeight="1" x14ac:dyDescent="0.2">
      <c r="M747" s="11"/>
    </row>
    <row r="748" spans="13:13" ht="15.75" customHeight="1" x14ac:dyDescent="0.2">
      <c r="M748" s="11"/>
    </row>
    <row r="749" spans="13:13" ht="15.75" customHeight="1" x14ac:dyDescent="0.2">
      <c r="M749" s="11"/>
    </row>
    <row r="750" spans="13:13" ht="15.75" customHeight="1" x14ac:dyDescent="0.2">
      <c r="M750" s="11"/>
    </row>
    <row r="751" spans="13:13" ht="15.75" customHeight="1" x14ac:dyDescent="0.2">
      <c r="M751" s="11"/>
    </row>
    <row r="752" spans="13:13" ht="15.75" customHeight="1" x14ac:dyDescent="0.2">
      <c r="M752" s="11"/>
    </row>
    <row r="753" spans="13:13" ht="15.75" customHeight="1" x14ac:dyDescent="0.2">
      <c r="M753" s="11"/>
    </row>
    <row r="754" spans="13:13" ht="15.75" customHeight="1" x14ac:dyDescent="0.2">
      <c r="M754" s="11"/>
    </row>
    <row r="755" spans="13:13" ht="15.75" customHeight="1" x14ac:dyDescent="0.2">
      <c r="M755" s="11"/>
    </row>
    <row r="756" spans="13:13" ht="15.75" customHeight="1" x14ac:dyDescent="0.2">
      <c r="M756" s="11"/>
    </row>
    <row r="757" spans="13:13" ht="15.75" customHeight="1" x14ac:dyDescent="0.2">
      <c r="M757" s="11"/>
    </row>
    <row r="758" spans="13:13" ht="15.75" customHeight="1" x14ac:dyDescent="0.2">
      <c r="M758" s="11"/>
    </row>
    <row r="759" spans="13:13" ht="15.75" customHeight="1" x14ac:dyDescent="0.2">
      <c r="M759" s="11"/>
    </row>
    <row r="760" spans="13:13" ht="15.75" customHeight="1" x14ac:dyDescent="0.2">
      <c r="M760" s="11"/>
    </row>
    <row r="761" spans="13:13" ht="15.75" customHeight="1" x14ac:dyDescent="0.2">
      <c r="M761" s="11"/>
    </row>
    <row r="762" spans="13:13" ht="15.75" customHeight="1" x14ac:dyDescent="0.2">
      <c r="M762" s="11"/>
    </row>
    <row r="763" spans="13:13" ht="15.75" customHeight="1" x14ac:dyDescent="0.2">
      <c r="M763" s="11"/>
    </row>
    <row r="764" spans="13:13" ht="15.75" customHeight="1" x14ac:dyDescent="0.2">
      <c r="M764" s="11"/>
    </row>
    <row r="765" spans="13:13" ht="15.75" customHeight="1" x14ac:dyDescent="0.2">
      <c r="M765" s="11"/>
    </row>
    <row r="766" spans="13:13" ht="15.75" customHeight="1" x14ac:dyDescent="0.2">
      <c r="M766" s="11"/>
    </row>
    <row r="767" spans="13:13" ht="15.75" customHeight="1" x14ac:dyDescent="0.2">
      <c r="M767" s="11"/>
    </row>
    <row r="768" spans="13:13" ht="15.75" customHeight="1" x14ac:dyDescent="0.2">
      <c r="M768" s="11"/>
    </row>
    <row r="769" spans="13:13" ht="15.75" customHeight="1" x14ac:dyDescent="0.2">
      <c r="M769" s="11"/>
    </row>
    <row r="770" spans="13:13" ht="15.75" customHeight="1" x14ac:dyDescent="0.2">
      <c r="M770" s="11"/>
    </row>
    <row r="771" spans="13:13" ht="15.75" customHeight="1" x14ac:dyDescent="0.2">
      <c r="M771" s="11"/>
    </row>
    <row r="772" spans="13:13" ht="15.75" customHeight="1" x14ac:dyDescent="0.2">
      <c r="M772" s="11"/>
    </row>
    <row r="773" spans="13:13" ht="15.75" customHeight="1" x14ac:dyDescent="0.2">
      <c r="M773" s="11"/>
    </row>
    <row r="774" spans="13:13" ht="15.75" customHeight="1" x14ac:dyDescent="0.2">
      <c r="M774" s="11"/>
    </row>
    <row r="775" spans="13:13" ht="15.75" customHeight="1" x14ac:dyDescent="0.2">
      <c r="M775" s="11"/>
    </row>
    <row r="776" spans="13:13" ht="15.75" customHeight="1" x14ac:dyDescent="0.2">
      <c r="M776" s="11"/>
    </row>
    <row r="777" spans="13:13" ht="15.75" customHeight="1" x14ac:dyDescent="0.2">
      <c r="M777" s="11"/>
    </row>
    <row r="778" spans="13:13" ht="15.75" customHeight="1" x14ac:dyDescent="0.2">
      <c r="M778" s="11"/>
    </row>
    <row r="779" spans="13:13" ht="15.75" customHeight="1" x14ac:dyDescent="0.2">
      <c r="M779" s="11"/>
    </row>
    <row r="780" spans="13:13" ht="15.75" customHeight="1" x14ac:dyDescent="0.2">
      <c r="M780" s="11"/>
    </row>
    <row r="781" spans="13:13" ht="15.75" customHeight="1" x14ac:dyDescent="0.2">
      <c r="M781" s="11"/>
    </row>
    <row r="782" spans="13:13" ht="15.75" customHeight="1" x14ac:dyDescent="0.2">
      <c r="M782" s="11"/>
    </row>
    <row r="783" spans="13:13" ht="15.75" customHeight="1" x14ac:dyDescent="0.2">
      <c r="M783" s="11"/>
    </row>
    <row r="784" spans="13:13" ht="15.75" customHeight="1" x14ac:dyDescent="0.2">
      <c r="M784" s="11"/>
    </row>
    <row r="785" spans="13:13" ht="15.75" customHeight="1" x14ac:dyDescent="0.2">
      <c r="M785" s="11"/>
    </row>
    <row r="786" spans="13:13" ht="15.75" customHeight="1" x14ac:dyDescent="0.2">
      <c r="M786" s="11"/>
    </row>
    <row r="787" spans="13:13" ht="15.75" customHeight="1" x14ac:dyDescent="0.2">
      <c r="M787" s="11"/>
    </row>
    <row r="788" spans="13:13" ht="15.75" customHeight="1" x14ac:dyDescent="0.2">
      <c r="M788" s="11"/>
    </row>
    <row r="789" spans="13:13" ht="15.75" customHeight="1" x14ac:dyDescent="0.2">
      <c r="M789" s="11"/>
    </row>
    <row r="790" spans="13:13" ht="15.75" customHeight="1" x14ac:dyDescent="0.2">
      <c r="M790" s="11"/>
    </row>
    <row r="791" spans="13:13" ht="15.75" customHeight="1" x14ac:dyDescent="0.2">
      <c r="M791" s="11"/>
    </row>
    <row r="792" spans="13:13" ht="15.75" customHeight="1" x14ac:dyDescent="0.2">
      <c r="M792" s="11"/>
    </row>
    <row r="793" spans="13:13" ht="15.75" customHeight="1" x14ac:dyDescent="0.2">
      <c r="M793" s="11"/>
    </row>
    <row r="794" spans="13:13" ht="15.75" customHeight="1" x14ac:dyDescent="0.2">
      <c r="M794" s="11"/>
    </row>
    <row r="795" spans="13:13" ht="15.75" customHeight="1" x14ac:dyDescent="0.2">
      <c r="M795" s="11"/>
    </row>
    <row r="796" spans="13:13" ht="15.75" customHeight="1" x14ac:dyDescent="0.2">
      <c r="M796" s="11"/>
    </row>
    <row r="797" spans="13:13" ht="15.75" customHeight="1" x14ac:dyDescent="0.2">
      <c r="M797" s="11"/>
    </row>
    <row r="798" spans="13:13" ht="15.75" customHeight="1" x14ac:dyDescent="0.2">
      <c r="M798" s="11"/>
    </row>
    <row r="799" spans="13:13" ht="15.75" customHeight="1" x14ac:dyDescent="0.2">
      <c r="M799" s="11"/>
    </row>
    <row r="800" spans="13:13" ht="15.75" customHeight="1" x14ac:dyDescent="0.2">
      <c r="M800" s="11"/>
    </row>
    <row r="801" spans="13:13" ht="15.75" customHeight="1" x14ac:dyDescent="0.2">
      <c r="M801" s="11"/>
    </row>
    <row r="802" spans="13:13" ht="15.75" customHeight="1" x14ac:dyDescent="0.2">
      <c r="M802" s="11"/>
    </row>
    <row r="803" spans="13:13" ht="15.75" customHeight="1" x14ac:dyDescent="0.2">
      <c r="M803" s="11"/>
    </row>
    <row r="804" spans="13:13" ht="15.75" customHeight="1" x14ac:dyDescent="0.2">
      <c r="M804" s="11"/>
    </row>
    <row r="805" spans="13:13" ht="15.75" customHeight="1" x14ac:dyDescent="0.2">
      <c r="M805" s="11"/>
    </row>
    <row r="806" spans="13:13" ht="15.75" customHeight="1" x14ac:dyDescent="0.2">
      <c r="M806" s="11"/>
    </row>
    <row r="807" spans="13:13" ht="15.75" customHeight="1" x14ac:dyDescent="0.2">
      <c r="M807" s="11"/>
    </row>
    <row r="808" spans="13:13" ht="15.75" customHeight="1" x14ac:dyDescent="0.2">
      <c r="M808" s="11"/>
    </row>
    <row r="809" spans="13:13" ht="15.75" customHeight="1" x14ac:dyDescent="0.2">
      <c r="M809" s="11"/>
    </row>
    <row r="810" spans="13:13" ht="15.75" customHeight="1" x14ac:dyDescent="0.2">
      <c r="M810" s="11"/>
    </row>
    <row r="811" spans="13:13" ht="15.75" customHeight="1" x14ac:dyDescent="0.2">
      <c r="M811" s="11"/>
    </row>
    <row r="812" spans="13:13" ht="15.75" customHeight="1" x14ac:dyDescent="0.2">
      <c r="M812" s="11"/>
    </row>
    <row r="813" spans="13:13" ht="15.75" customHeight="1" x14ac:dyDescent="0.2">
      <c r="M813" s="11"/>
    </row>
    <row r="814" spans="13:13" ht="15.75" customHeight="1" x14ac:dyDescent="0.2">
      <c r="M814" s="11"/>
    </row>
    <row r="815" spans="13:13" ht="15.75" customHeight="1" x14ac:dyDescent="0.2">
      <c r="M815" s="11"/>
    </row>
    <row r="816" spans="13:13" ht="15.75" customHeight="1" x14ac:dyDescent="0.2">
      <c r="M816" s="11"/>
    </row>
    <row r="817" spans="13:13" ht="15.75" customHeight="1" x14ac:dyDescent="0.2">
      <c r="M817" s="11"/>
    </row>
    <row r="818" spans="13:13" ht="15.75" customHeight="1" x14ac:dyDescent="0.2">
      <c r="M818" s="11"/>
    </row>
    <row r="819" spans="13:13" ht="15.75" customHeight="1" x14ac:dyDescent="0.2">
      <c r="M819" s="11"/>
    </row>
    <row r="820" spans="13:13" ht="15.75" customHeight="1" x14ac:dyDescent="0.2">
      <c r="M820" s="11"/>
    </row>
    <row r="821" spans="13:13" ht="15.75" customHeight="1" x14ac:dyDescent="0.2">
      <c r="M821" s="11"/>
    </row>
    <row r="822" spans="13:13" ht="15.75" customHeight="1" x14ac:dyDescent="0.2">
      <c r="M822" s="11"/>
    </row>
    <row r="823" spans="13:13" ht="15.75" customHeight="1" x14ac:dyDescent="0.2">
      <c r="M823" s="11"/>
    </row>
    <row r="824" spans="13:13" ht="15.75" customHeight="1" x14ac:dyDescent="0.2">
      <c r="M824" s="11"/>
    </row>
    <row r="825" spans="13:13" ht="15.75" customHeight="1" x14ac:dyDescent="0.2">
      <c r="M825" s="11"/>
    </row>
    <row r="826" spans="13:13" ht="15.75" customHeight="1" x14ac:dyDescent="0.2">
      <c r="M826" s="11"/>
    </row>
    <row r="827" spans="13:13" ht="15.75" customHeight="1" x14ac:dyDescent="0.2">
      <c r="M827" s="11"/>
    </row>
    <row r="828" spans="13:13" ht="15.75" customHeight="1" x14ac:dyDescent="0.2">
      <c r="M828" s="11"/>
    </row>
    <row r="829" spans="13:13" ht="15.75" customHeight="1" x14ac:dyDescent="0.2">
      <c r="M829" s="11"/>
    </row>
    <row r="830" spans="13:13" ht="15.75" customHeight="1" x14ac:dyDescent="0.2">
      <c r="M830" s="11"/>
    </row>
    <row r="831" spans="13:13" ht="15.75" customHeight="1" x14ac:dyDescent="0.2">
      <c r="M831" s="11"/>
    </row>
    <row r="832" spans="13:13" ht="15.75" customHeight="1" x14ac:dyDescent="0.2">
      <c r="M832" s="11"/>
    </row>
    <row r="833" spans="13:13" ht="15.75" customHeight="1" x14ac:dyDescent="0.2">
      <c r="M833" s="11"/>
    </row>
    <row r="834" spans="13:13" ht="15.75" customHeight="1" x14ac:dyDescent="0.2">
      <c r="M834" s="11"/>
    </row>
    <row r="835" spans="13:13" ht="15.75" customHeight="1" x14ac:dyDescent="0.2">
      <c r="M835" s="11"/>
    </row>
    <row r="836" spans="13:13" ht="15.75" customHeight="1" x14ac:dyDescent="0.2">
      <c r="M836" s="11"/>
    </row>
    <row r="837" spans="13:13" ht="15.75" customHeight="1" x14ac:dyDescent="0.2">
      <c r="M837" s="11"/>
    </row>
    <row r="838" spans="13:13" ht="15.75" customHeight="1" x14ac:dyDescent="0.2">
      <c r="M838" s="11"/>
    </row>
    <row r="839" spans="13:13" ht="15.75" customHeight="1" x14ac:dyDescent="0.2">
      <c r="M839" s="11"/>
    </row>
    <row r="840" spans="13:13" ht="15.75" customHeight="1" x14ac:dyDescent="0.2">
      <c r="M840" s="11"/>
    </row>
    <row r="841" spans="13:13" ht="15.75" customHeight="1" x14ac:dyDescent="0.2">
      <c r="M841" s="11"/>
    </row>
    <row r="842" spans="13:13" ht="15.75" customHeight="1" x14ac:dyDescent="0.2">
      <c r="M842" s="11"/>
    </row>
    <row r="843" spans="13:13" ht="15.75" customHeight="1" x14ac:dyDescent="0.2">
      <c r="M843" s="11"/>
    </row>
    <row r="844" spans="13:13" ht="15.75" customHeight="1" x14ac:dyDescent="0.2">
      <c r="M844" s="11"/>
    </row>
    <row r="845" spans="13:13" ht="15.75" customHeight="1" x14ac:dyDescent="0.2">
      <c r="M845" s="11"/>
    </row>
    <row r="846" spans="13:13" ht="15.75" customHeight="1" x14ac:dyDescent="0.2">
      <c r="M846" s="11"/>
    </row>
    <row r="847" spans="13:13" ht="15.75" customHeight="1" x14ac:dyDescent="0.2">
      <c r="M847" s="11"/>
    </row>
    <row r="848" spans="13:13" ht="15.75" customHeight="1" x14ac:dyDescent="0.2">
      <c r="M848" s="11"/>
    </row>
    <row r="849" spans="13:13" ht="15.75" customHeight="1" x14ac:dyDescent="0.2">
      <c r="M849" s="11"/>
    </row>
    <row r="850" spans="13:13" ht="15.75" customHeight="1" x14ac:dyDescent="0.2">
      <c r="M850" s="11"/>
    </row>
    <row r="851" spans="13:13" ht="15.75" customHeight="1" x14ac:dyDescent="0.2">
      <c r="M851" s="11"/>
    </row>
    <row r="852" spans="13:13" ht="15.75" customHeight="1" x14ac:dyDescent="0.2">
      <c r="M852" s="11"/>
    </row>
    <row r="853" spans="13:13" ht="15.75" customHeight="1" x14ac:dyDescent="0.2">
      <c r="M853" s="11"/>
    </row>
    <row r="854" spans="13:13" ht="15.75" customHeight="1" x14ac:dyDescent="0.2">
      <c r="M854" s="11"/>
    </row>
    <row r="855" spans="13:13" ht="15.75" customHeight="1" x14ac:dyDescent="0.2">
      <c r="M855" s="11"/>
    </row>
    <row r="856" spans="13:13" ht="15.75" customHeight="1" x14ac:dyDescent="0.2">
      <c r="M856" s="11"/>
    </row>
    <row r="857" spans="13:13" ht="15.75" customHeight="1" x14ac:dyDescent="0.2">
      <c r="M857" s="11"/>
    </row>
    <row r="858" spans="13:13" ht="15.75" customHeight="1" x14ac:dyDescent="0.2">
      <c r="M858" s="11"/>
    </row>
    <row r="859" spans="13:13" ht="15.75" customHeight="1" x14ac:dyDescent="0.2">
      <c r="M859" s="11"/>
    </row>
    <row r="860" spans="13:13" ht="15.75" customHeight="1" x14ac:dyDescent="0.2">
      <c r="M860" s="11"/>
    </row>
    <row r="861" spans="13:13" ht="15.75" customHeight="1" x14ac:dyDescent="0.2">
      <c r="M861" s="11"/>
    </row>
    <row r="862" spans="13:13" ht="15.75" customHeight="1" x14ac:dyDescent="0.2">
      <c r="M862" s="11"/>
    </row>
    <row r="863" spans="13:13" ht="15.75" customHeight="1" x14ac:dyDescent="0.2">
      <c r="M863" s="11"/>
    </row>
    <row r="864" spans="13:13" ht="15.75" customHeight="1" x14ac:dyDescent="0.2">
      <c r="M864" s="11"/>
    </row>
    <row r="865" spans="13:13" ht="15.75" customHeight="1" x14ac:dyDescent="0.2">
      <c r="M865" s="11"/>
    </row>
    <row r="866" spans="13:13" ht="15.75" customHeight="1" x14ac:dyDescent="0.2">
      <c r="M866" s="11"/>
    </row>
    <row r="867" spans="13:13" ht="15.75" customHeight="1" x14ac:dyDescent="0.2">
      <c r="M867" s="11"/>
    </row>
    <row r="868" spans="13:13" ht="15.75" customHeight="1" x14ac:dyDescent="0.2">
      <c r="M868" s="11"/>
    </row>
    <row r="869" spans="13:13" ht="15.75" customHeight="1" x14ac:dyDescent="0.2">
      <c r="M869" s="11"/>
    </row>
    <row r="870" spans="13:13" ht="15.75" customHeight="1" x14ac:dyDescent="0.2">
      <c r="M870" s="11"/>
    </row>
    <row r="871" spans="13:13" ht="15.75" customHeight="1" x14ac:dyDescent="0.2">
      <c r="M871" s="11"/>
    </row>
    <row r="872" spans="13:13" ht="15.75" customHeight="1" x14ac:dyDescent="0.2">
      <c r="M872" s="11"/>
    </row>
    <row r="873" spans="13:13" ht="15.75" customHeight="1" x14ac:dyDescent="0.2">
      <c r="M873" s="11"/>
    </row>
    <row r="874" spans="13:13" ht="15.75" customHeight="1" x14ac:dyDescent="0.2">
      <c r="M874" s="11"/>
    </row>
    <row r="875" spans="13:13" ht="15.75" customHeight="1" x14ac:dyDescent="0.2">
      <c r="M875" s="11"/>
    </row>
    <row r="876" spans="13:13" ht="15.75" customHeight="1" x14ac:dyDescent="0.2">
      <c r="M876" s="11"/>
    </row>
    <row r="877" spans="13:13" ht="15.75" customHeight="1" x14ac:dyDescent="0.2">
      <c r="M877" s="11"/>
    </row>
    <row r="878" spans="13:13" ht="15.75" customHeight="1" x14ac:dyDescent="0.2">
      <c r="M878" s="11"/>
    </row>
    <row r="879" spans="13:13" ht="15.75" customHeight="1" x14ac:dyDescent="0.2">
      <c r="M879" s="11"/>
    </row>
    <row r="880" spans="13:13" ht="15.75" customHeight="1" x14ac:dyDescent="0.2">
      <c r="M880" s="11"/>
    </row>
    <row r="881" spans="13:13" ht="15.75" customHeight="1" x14ac:dyDescent="0.2">
      <c r="M881" s="11"/>
    </row>
    <row r="882" spans="13:13" ht="15.75" customHeight="1" x14ac:dyDescent="0.2">
      <c r="M882" s="11"/>
    </row>
    <row r="883" spans="13:13" ht="15.75" customHeight="1" x14ac:dyDescent="0.2">
      <c r="M883" s="11"/>
    </row>
    <row r="884" spans="13:13" ht="15.75" customHeight="1" x14ac:dyDescent="0.2">
      <c r="M884" s="11"/>
    </row>
    <row r="885" spans="13:13" ht="15.75" customHeight="1" x14ac:dyDescent="0.2">
      <c r="M885" s="11"/>
    </row>
    <row r="886" spans="13:13" ht="15.75" customHeight="1" x14ac:dyDescent="0.2">
      <c r="M886" s="11"/>
    </row>
    <row r="887" spans="13:13" ht="15.75" customHeight="1" x14ac:dyDescent="0.2">
      <c r="M887" s="11"/>
    </row>
    <row r="888" spans="13:13" ht="15.75" customHeight="1" x14ac:dyDescent="0.2">
      <c r="M888" s="11"/>
    </row>
    <row r="889" spans="13:13" ht="15.75" customHeight="1" x14ac:dyDescent="0.2">
      <c r="M889" s="11"/>
    </row>
    <row r="890" spans="13:13" ht="15.75" customHeight="1" x14ac:dyDescent="0.2">
      <c r="M890" s="11"/>
    </row>
    <row r="891" spans="13:13" ht="15.75" customHeight="1" x14ac:dyDescent="0.2">
      <c r="M891" s="11"/>
    </row>
    <row r="892" spans="13:13" ht="15.75" customHeight="1" x14ac:dyDescent="0.2">
      <c r="M892" s="11"/>
    </row>
    <row r="893" spans="13:13" ht="15.75" customHeight="1" x14ac:dyDescent="0.2">
      <c r="M893" s="11"/>
    </row>
    <row r="894" spans="13:13" ht="15.75" customHeight="1" x14ac:dyDescent="0.2">
      <c r="M894" s="11"/>
    </row>
    <row r="895" spans="13:13" ht="15.75" customHeight="1" x14ac:dyDescent="0.2">
      <c r="M895" s="11"/>
    </row>
    <row r="896" spans="13:13" ht="15.75" customHeight="1" x14ac:dyDescent="0.2">
      <c r="M896" s="11"/>
    </row>
    <row r="897" spans="13:13" ht="15.75" customHeight="1" x14ac:dyDescent="0.2">
      <c r="M897" s="11"/>
    </row>
    <row r="898" spans="13:13" ht="15.75" customHeight="1" x14ac:dyDescent="0.2">
      <c r="M898" s="11"/>
    </row>
    <row r="899" spans="13:13" ht="15.75" customHeight="1" x14ac:dyDescent="0.2">
      <c r="M899" s="11"/>
    </row>
    <row r="900" spans="13:13" ht="15.75" customHeight="1" x14ac:dyDescent="0.2">
      <c r="M900" s="11"/>
    </row>
    <row r="901" spans="13:13" ht="15.75" customHeight="1" x14ac:dyDescent="0.2">
      <c r="M901" s="11"/>
    </row>
    <row r="902" spans="13:13" ht="15.75" customHeight="1" x14ac:dyDescent="0.2">
      <c r="M902" s="11"/>
    </row>
    <row r="903" spans="13:13" ht="15.75" customHeight="1" x14ac:dyDescent="0.2">
      <c r="M903" s="11"/>
    </row>
    <row r="904" spans="13:13" ht="15.75" customHeight="1" x14ac:dyDescent="0.2">
      <c r="M904" s="11"/>
    </row>
    <row r="905" spans="13:13" ht="15.75" customHeight="1" x14ac:dyDescent="0.2">
      <c r="M905" s="11"/>
    </row>
    <row r="906" spans="13:13" ht="15.75" customHeight="1" x14ac:dyDescent="0.2">
      <c r="M906" s="11"/>
    </row>
    <row r="907" spans="13:13" ht="15.75" customHeight="1" x14ac:dyDescent="0.2">
      <c r="M907" s="11"/>
    </row>
    <row r="908" spans="13:13" ht="15.75" customHeight="1" x14ac:dyDescent="0.2">
      <c r="M908" s="11"/>
    </row>
    <row r="909" spans="13:13" ht="15.75" customHeight="1" x14ac:dyDescent="0.2">
      <c r="M909" s="11"/>
    </row>
    <row r="910" spans="13:13" ht="15.75" customHeight="1" x14ac:dyDescent="0.2">
      <c r="M910" s="11"/>
    </row>
    <row r="911" spans="13:13" ht="15.75" customHeight="1" x14ac:dyDescent="0.2">
      <c r="M911" s="11"/>
    </row>
    <row r="912" spans="13:13" ht="15.75" customHeight="1" x14ac:dyDescent="0.2">
      <c r="M912" s="11"/>
    </row>
    <row r="913" spans="13:13" ht="15.75" customHeight="1" x14ac:dyDescent="0.2">
      <c r="M913" s="11"/>
    </row>
    <row r="914" spans="13:13" ht="15.75" customHeight="1" x14ac:dyDescent="0.2">
      <c r="M914" s="11"/>
    </row>
    <row r="915" spans="13:13" ht="15.75" customHeight="1" x14ac:dyDescent="0.2">
      <c r="M915" s="11"/>
    </row>
    <row r="916" spans="13:13" ht="15.75" customHeight="1" x14ac:dyDescent="0.2">
      <c r="M916" s="11"/>
    </row>
    <row r="917" spans="13:13" ht="15.75" customHeight="1" x14ac:dyDescent="0.2">
      <c r="M917" s="11"/>
    </row>
    <row r="918" spans="13:13" ht="15.75" customHeight="1" x14ac:dyDescent="0.2">
      <c r="M918" s="11"/>
    </row>
    <row r="919" spans="13:13" ht="15.75" customHeight="1" x14ac:dyDescent="0.2">
      <c r="M919" s="11"/>
    </row>
    <row r="920" spans="13:13" ht="15.75" customHeight="1" x14ac:dyDescent="0.2">
      <c r="M920" s="11"/>
    </row>
    <row r="921" spans="13:13" ht="15.75" customHeight="1" x14ac:dyDescent="0.2">
      <c r="M921" s="11"/>
    </row>
    <row r="922" spans="13:13" ht="15.75" customHeight="1" x14ac:dyDescent="0.2">
      <c r="M922" s="11"/>
    </row>
    <row r="923" spans="13:13" ht="15.75" customHeight="1" x14ac:dyDescent="0.2">
      <c r="M923" s="11"/>
    </row>
    <row r="924" spans="13:13" ht="15.75" customHeight="1" x14ac:dyDescent="0.2">
      <c r="M924" s="11"/>
    </row>
    <row r="925" spans="13:13" ht="15.75" customHeight="1" x14ac:dyDescent="0.2">
      <c r="M925" s="11"/>
    </row>
    <row r="926" spans="13:13" ht="15.75" customHeight="1" x14ac:dyDescent="0.2">
      <c r="M926" s="11"/>
    </row>
    <row r="927" spans="13:13" ht="15.75" customHeight="1" x14ac:dyDescent="0.2">
      <c r="M927" s="11"/>
    </row>
    <row r="928" spans="13:13" ht="15.75" customHeight="1" x14ac:dyDescent="0.2">
      <c r="M928" s="11"/>
    </row>
    <row r="929" spans="13:13" ht="15.75" customHeight="1" x14ac:dyDescent="0.2">
      <c r="M929" s="11"/>
    </row>
    <row r="930" spans="13:13" ht="15.75" customHeight="1" x14ac:dyDescent="0.2">
      <c r="M930" s="11"/>
    </row>
    <row r="931" spans="13:13" ht="15.75" customHeight="1" x14ac:dyDescent="0.2">
      <c r="M931" s="11"/>
    </row>
    <row r="932" spans="13:13" ht="15.75" customHeight="1" x14ac:dyDescent="0.2">
      <c r="M932" s="11"/>
    </row>
    <row r="933" spans="13:13" ht="15.75" customHeight="1" x14ac:dyDescent="0.2">
      <c r="M933" s="11"/>
    </row>
    <row r="934" spans="13:13" ht="15.75" customHeight="1" x14ac:dyDescent="0.2">
      <c r="M934" s="11"/>
    </row>
    <row r="935" spans="13:13" ht="15.75" customHeight="1" x14ac:dyDescent="0.2">
      <c r="M935" s="11"/>
    </row>
    <row r="936" spans="13:13" ht="15.75" customHeight="1" x14ac:dyDescent="0.2">
      <c r="M936" s="11"/>
    </row>
    <row r="937" spans="13:13" ht="15.75" customHeight="1" x14ac:dyDescent="0.2">
      <c r="M937" s="11"/>
    </row>
    <row r="938" spans="13:13" ht="15.75" customHeight="1" x14ac:dyDescent="0.2">
      <c r="M938" s="11"/>
    </row>
    <row r="939" spans="13:13" ht="15.75" customHeight="1" x14ac:dyDescent="0.2">
      <c r="M939" s="11"/>
    </row>
    <row r="940" spans="13:13" ht="15.75" customHeight="1" x14ac:dyDescent="0.2">
      <c r="M940" s="11"/>
    </row>
    <row r="941" spans="13:13" ht="15.75" customHeight="1" x14ac:dyDescent="0.2">
      <c r="M941" s="11"/>
    </row>
    <row r="942" spans="13:13" ht="15.75" customHeight="1" x14ac:dyDescent="0.2">
      <c r="M942" s="11"/>
    </row>
    <row r="943" spans="13:13" ht="15.75" customHeight="1" x14ac:dyDescent="0.2">
      <c r="M943" s="11"/>
    </row>
    <row r="944" spans="13:13" ht="15.75" customHeight="1" x14ac:dyDescent="0.2">
      <c r="M944" s="11"/>
    </row>
    <row r="945" spans="13:13" ht="15.75" customHeight="1" x14ac:dyDescent="0.2">
      <c r="M945" s="11"/>
    </row>
    <row r="946" spans="13:13" ht="15.75" customHeight="1" x14ac:dyDescent="0.2">
      <c r="M946" s="11"/>
    </row>
    <row r="947" spans="13:13" ht="15.75" customHeight="1" x14ac:dyDescent="0.2">
      <c r="M947" s="11"/>
    </row>
    <row r="948" spans="13:13" ht="15.75" customHeight="1" x14ac:dyDescent="0.2">
      <c r="M948" s="11"/>
    </row>
    <row r="949" spans="13:13" ht="15.75" customHeight="1" x14ac:dyDescent="0.2">
      <c r="M949" s="11"/>
    </row>
    <row r="950" spans="13:13" ht="15.75" customHeight="1" x14ac:dyDescent="0.2">
      <c r="M950" s="11"/>
    </row>
    <row r="951" spans="13:13" ht="15.75" customHeight="1" x14ac:dyDescent="0.2">
      <c r="M951" s="11"/>
    </row>
    <row r="952" spans="13:13" ht="15.75" customHeight="1" x14ac:dyDescent="0.2">
      <c r="M952" s="11"/>
    </row>
    <row r="953" spans="13:13" ht="15.75" customHeight="1" x14ac:dyDescent="0.2">
      <c r="M953" s="11"/>
    </row>
    <row r="954" spans="13:13" ht="15.75" customHeight="1" x14ac:dyDescent="0.2">
      <c r="M954" s="11"/>
    </row>
    <row r="955" spans="13:13" ht="15.75" customHeight="1" x14ac:dyDescent="0.2">
      <c r="M955" s="11"/>
    </row>
    <row r="956" spans="13:13" ht="15.75" customHeight="1" x14ac:dyDescent="0.2">
      <c r="M956" s="11"/>
    </row>
    <row r="957" spans="13:13" ht="15.75" customHeight="1" x14ac:dyDescent="0.2">
      <c r="M957" s="11"/>
    </row>
    <row r="958" spans="13:13" ht="15.75" customHeight="1" x14ac:dyDescent="0.2">
      <c r="M958" s="11"/>
    </row>
    <row r="959" spans="13:13" ht="15.75" customHeight="1" x14ac:dyDescent="0.2">
      <c r="M959" s="11"/>
    </row>
    <row r="960" spans="13:13" ht="15.75" customHeight="1" x14ac:dyDescent="0.2">
      <c r="M960" s="11"/>
    </row>
    <row r="961" spans="13:13" ht="15.75" customHeight="1" x14ac:dyDescent="0.2">
      <c r="M961" s="11"/>
    </row>
    <row r="962" spans="13:13" ht="15.75" customHeight="1" x14ac:dyDescent="0.2">
      <c r="M962" s="11"/>
    </row>
    <row r="963" spans="13:13" ht="15.75" customHeight="1" x14ac:dyDescent="0.2">
      <c r="M963" s="11"/>
    </row>
    <row r="964" spans="13:13" ht="15.75" customHeight="1" x14ac:dyDescent="0.2">
      <c r="M964" s="11"/>
    </row>
    <row r="965" spans="13:13" ht="15.75" customHeight="1" x14ac:dyDescent="0.2">
      <c r="M965" s="11"/>
    </row>
    <row r="966" spans="13:13" ht="15.75" customHeight="1" x14ac:dyDescent="0.2">
      <c r="M966" s="11"/>
    </row>
    <row r="967" spans="13:13" ht="15.75" customHeight="1" x14ac:dyDescent="0.2">
      <c r="M967" s="11"/>
    </row>
    <row r="968" spans="13:13" ht="15.75" customHeight="1" x14ac:dyDescent="0.2">
      <c r="M968" s="11"/>
    </row>
    <row r="969" spans="13:13" ht="15.75" customHeight="1" x14ac:dyDescent="0.2">
      <c r="M969" s="11"/>
    </row>
    <row r="970" spans="13:13" ht="15.75" customHeight="1" x14ac:dyDescent="0.2">
      <c r="M970" s="11"/>
    </row>
    <row r="971" spans="13:13" ht="15.75" customHeight="1" x14ac:dyDescent="0.2">
      <c r="M971" s="11"/>
    </row>
    <row r="972" spans="13:13" ht="15.75" customHeight="1" x14ac:dyDescent="0.2">
      <c r="M972" s="11"/>
    </row>
    <row r="973" spans="13:13" ht="15.75" customHeight="1" x14ac:dyDescent="0.2">
      <c r="M973" s="11"/>
    </row>
    <row r="974" spans="13:13" ht="15.75" customHeight="1" x14ac:dyDescent="0.2">
      <c r="M974" s="11"/>
    </row>
    <row r="975" spans="13:13" ht="15.75" customHeight="1" x14ac:dyDescent="0.2">
      <c r="M975" s="11"/>
    </row>
    <row r="976" spans="13:13" ht="15.75" customHeight="1" x14ac:dyDescent="0.2">
      <c r="M976" s="11"/>
    </row>
    <row r="977" spans="13:13" ht="15.75" customHeight="1" x14ac:dyDescent="0.2">
      <c r="M977" s="11"/>
    </row>
    <row r="978" spans="13:13" ht="15.75" customHeight="1" x14ac:dyDescent="0.2">
      <c r="M978" s="11"/>
    </row>
    <row r="979" spans="13:13" ht="15.75" customHeight="1" x14ac:dyDescent="0.2">
      <c r="M979" s="11"/>
    </row>
    <row r="980" spans="13:13" ht="15.75" customHeight="1" x14ac:dyDescent="0.2">
      <c r="M980" s="11"/>
    </row>
    <row r="981" spans="13:13" ht="15.75" customHeight="1" x14ac:dyDescent="0.2">
      <c r="M981" s="11"/>
    </row>
    <row r="982" spans="13:13" ht="15.75" customHeight="1" x14ac:dyDescent="0.2">
      <c r="M982" s="11"/>
    </row>
    <row r="983" spans="13:13" ht="15.75" customHeight="1" x14ac:dyDescent="0.2">
      <c r="M983" s="11"/>
    </row>
    <row r="984" spans="13:13" ht="15.75" customHeight="1" x14ac:dyDescent="0.2">
      <c r="M984" s="11"/>
    </row>
    <row r="985" spans="13:13" ht="15.75" customHeight="1" x14ac:dyDescent="0.2">
      <c r="M985" s="11"/>
    </row>
    <row r="986" spans="13:13" ht="15.75" customHeight="1" x14ac:dyDescent="0.2">
      <c r="M986" s="11"/>
    </row>
    <row r="987" spans="13:13" ht="15.75" customHeight="1" x14ac:dyDescent="0.2">
      <c r="M987" s="11"/>
    </row>
    <row r="988" spans="13:13" ht="15.75" customHeight="1" x14ac:dyDescent="0.2">
      <c r="M988" s="11"/>
    </row>
    <row r="989" spans="13:13" ht="15.75" customHeight="1" x14ac:dyDescent="0.2">
      <c r="M989" s="11"/>
    </row>
    <row r="990" spans="13:13" ht="15.75" customHeight="1" x14ac:dyDescent="0.2">
      <c r="M990" s="11"/>
    </row>
    <row r="991" spans="13:13" ht="15.75" customHeight="1" x14ac:dyDescent="0.2">
      <c r="M991" s="11"/>
    </row>
    <row r="992" spans="13:13" ht="15.75" customHeight="1" x14ac:dyDescent="0.2">
      <c r="M992" s="11"/>
    </row>
    <row r="993" spans="13:13" ht="15.75" customHeight="1" x14ac:dyDescent="0.2">
      <c r="M993" s="11"/>
    </row>
    <row r="994" spans="13:13" ht="15.75" customHeight="1" x14ac:dyDescent="0.2">
      <c r="M994" s="11"/>
    </row>
    <row r="995" spans="13:13" ht="15.75" customHeight="1" x14ac:dyDescent="0.2">
      <c r="M995" s="11"/>
    </row>
    <row r="996" spans="13:13" ht="15.75" customHeight="1" x14ac:dyDescent="0.2">
      <c r="M996" s="11"/>
    </row>
    <row r="997" spans="13:13" ht="15.75" customHeight="1" x14ac:dyDescent="0.2">
      <c r="M997" s="11"/>
    </row>
    <row r="998" spans="13:13" ht="15.75" customHeight="1" x14ac:dyDescent="0.2">
      <c r="M998" s="11"/>
    </row>
    <row r="999" spans="13:13" ht="15.75" customHeight="1" x14ac:dyDescent="0.2">
      <c r="M999" s="11"/>
    </row>
    <row r="1000" spans="13:13" ht="15.75" customHeight="1" x14ac:dyDescent="0.2">
      <c r="M1000" s="11"/>
    </row>
  </sheetData>
  <conditionalFormatting sqref="F4:G23">
    <cfRule type="cellIs" dxfId="2" priority="1" operator="equal">
      <formula>"TRUE"</formula>
    </cfRule>
    <cfRule type="cellIs" dxfId="1" priority="2" operator="greaterThan">
      <formula>5</formula>
    </cfRule>
  </conditionalFormatting>
  <conditionalFormatting sqref="G4:G23">
    <cfRule type="cellIs" dxfId="0" priority="3" operator="greaterThan">
      <formula>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4"/>
  <sheetViews>
    <sheetView workbookViewId="0">
      <selection activeCell="A15" sqref="A15:B32"/>
    </sheetView>
  </sheetViews>
  <sheetFormatPr baseColWidth="10" defaultColWidth="11.1640625" defaultRowHeight="15" customHeight="1" x14ac:dyDescent="0.2"/>
  <cols>
    <col min="1" max="1" width="21.1640625" customWidth="1"/>
    <col min="2" max="2" width="124.33203125" customWidth="1"/>
    <col min="3" max="26" width="8.83203125" customWidth="1"/>
  </cols>
  <sheetData>
    <row r="1" spans="1:3" s="108" customFormat="1" ht="22.5" customHeight="1" x14ac:dyDescent="0.2">
      <c r="A1" s="106" t="s">
        <v>91</v>
      </c>
      <c r="B1" s="106"/>
      <c r="C1" s="107"/>
    </row>
    <row r="3" spans="1:3" s="105" customFormat="1" ht="20.25" customHeight="1" x14ac:dyDescent="0.2">
      <c r="A3" s="127" t="s">
        <v>92</v>
      </c>
    </row>
    <row r="4" spans="1:3" ht="16" x14ac:dyDescent="0.2">
      <c r="A4" s="68" t="s">
        <v>93</v>
      </c>
      <c r="B4" s="118" t="s">
        <v>94</v>
      </c>
    </row>
    <row r="5" spans="1:3" ht="16" x14ac:dyDescent="0.2">
      <c r="A5" s="119" t="s">
        <v>95</v>
      </c>
      <c r="B5" s="118" t="s">
        <v>96</v>
      </c>
    </row>
    <row r="6" spans="1:3" ht="16" x14ac:dyDescent="0.2">
      <c r="A6" s="120" t="s">
        <v>97</v>
      </c>
      <c r="B6" s="118" t="s">
        <v>98</v>
      </c>
    </row>
    <row r="7" spans="1:3" ht="16" x14ac:dyDescent="0.2">
      <c r="A7" s="121" t="s">
        <v>99</v>
      </c>
      <c r="B7" s="118" t="s">
        <v>100</v>
      </c>
    </row>
    <row r="8" spans="1:3" ht="16" x14ac:dyDescent="0.2">
      <c r="A8" s="17" t="s">
        <v>101</v>
      </c>
      <c r="B8" s="118" t="s">
        <v>102</v>
      </c>
    </row>
    <row r="9" spans="1:3" ht="16" x14ac:dyDescent="0.2">
      <c r="A9" s="122" t="s">
        <v>103</v>
      </c>
      <c r="B9" s="118" t="s">
        <v>104</v>
      </c>
    </row>
    <row r="10" spans="1:3" ht="16" x14ac:dyDescent="0.2">
      <c r="A10" s="123" t="s">
        <v>105</v>
      </c>
      <c r="B10" s="118" t="s">
        <v>106</v>
      </c>
    </row>
    <row r="11" spans="1:3" ht="16" x14ac:dyDescent="0.2">
      <c r="A11" s="124" t="s">
        <v>107</v>
      </c>
      <c r="B11" s="118" t="s">
        <v>108</v>
      </c>
    </row>
    <row r="12" spans="1:3" ht="16" x14ac:dyDescent="0.2">
      <c r="A12" s="85" t="s">
        <v>14</v>
      </c>
      <c r="B12" s="118" t="s">
        <v>109</v>
      </c>
    </row>
    <row r="13" spans="1:3" ht="16" x14ac:dyDescent="0.2">
      <c r="A13" s="125" t="s">
        <v>110</v>
      </c>
      <c r="B13" s="118" t="s">
        <v>111</v>
      </c>
    </row>
    <row r="14" spans="1:3" ht="16" x14ac:dyDescent="0.2">
      <c r="A14" s="44"/>
    </row>
    <row r="15" spans="1:3" ht="16" x14ac:dyDescent="0.2"/>
    <row r="16" spans="1:3" s="105" customFormat="1" ht="22.5" customHeight="1" x14ac:dyDescent="0.2">
      <c r="A16" s="128" t="s">
        <v>112</v>
      </c>
    </row>
    <row r="17" spans="1:3" s="114" customFormat="1" ht="22.5" customHeight="1" x14ac:dyDescent="0.2">
      <c r="A17" s="188" t="s">
        <v>113</v>
      </c>
      <c r="B17" s="188"/>
      <c r="C17" s="76"/>
    </row>
    <row r="18" spans="1:3" ht="33" customHeight="1" x14ac:dyDescent="0.2">
      <c r="A18" s="186" t="s">
        <v>114</v>
      </c>
      <c r="B18" s="187"/>
    </row>
    <row r="19" spans="1:3" ht="15" customHeight="1" x14ac:dyDescent="0.2">
      <c r="A19" s="109" t="s">
        <v>115</v>
      </c>
    </row>
    <row r="20" spans="1:3" ht="15" customHeight="1" x14ac:dyDescent="0.2">
      <c r="A20" s="109"/>
    </row>
    <row r="22" spans="1:3" ht="15" customHeight="1" x14ac:dyDescent="0.2">
      <c r="A22" s="113" t="s">
        <v>116</v>
      </c>
    </row>
    <row r="23" spans="1:3" ht="15" customHeight="1" x14ac:dyDescent="0.2">
      <c r="A23" s="110" t="s">
        <v>117</v>
      </c>
    </row>
    <row r="24" spans="1:3" ht="15" customHeight="1" x14ac:dyDescent="0.2">
      <c r="A24" s="110" t="s">
        <v>118</v>
      </c>
    </row>
    <row r="25" spans="1:3" ht="15.75" customHeight="1" x14ac:dyDescent="0.2">
      <c r="B25" s="111"/>
    </row>
    <row r="26" spans="1:3" ht="15.75" customHeight="1" x14ac:dyDescent="0.2">
      <c r="A26" s="113" t="s">
        <v>119</v>
      </c>
      <c r="B26" s="112">
        <f>(COUNTIF('FPP 2026'!A:A,"A1"))+(COUNTIF('FPP 2026'!A:A,"A2"))+(COUNTIF('FPP 2026'!A:A,"A"))</f>
        <v>16</v>
      </c>
    </row>
    <row r="27" spans="1:3" ht="15.75" customHeight="1" x14ac:dyDescent="0.2">
      <c r="A27" s="113" t="s">
        <v>120</v>
      </c>
      <c r="B27" s="112">
        <f>(COUNTIF('FPP 2026'!A:A,"B1"))+(COUNTIF('FPP 2026'!A:A,"B2"))+(COUNTIF('FPP 2026'!A:A,"B"))</f>
        <v>80</v>
      </c>
    </row>
    <row r="28" spans="1:3" ht="15.75" customHeight="1" x14ac:dyDescent="0.2">
      <c r="B28" s="111"/>
    </row>
    <row r="29" spans="1:3" ht="15.75" customHeight="1" x14ac:dyDescent="0.2">
      <c r="A29" s="113" t="s">
        <v>121</v>
      </c>
    </row>
    <row r="30" spans="1:3" ht="15.75" customHeight="1" x14ac:dyDescent="0.2">
      <c r="A30" s="69" t="s">
        <v>122</v>
      </c>
    </row>
    <row r="31" spans="1:3" ht="15.75" customHeight="1" x14ac:dyDescent="0.2"/>
    <row r="32" spans="1:3" ht="15.75" customHeight="1" x14ac:dyDescent="0.2"/>
    <row r="33" spans="1:1" ht="15.75" customHeight="1" x14ac:dyDescent="0.2">
      <c r="A33" s="117" t="str">
        <f ca="1">RIGHT(DEC2HEX(RANDBETWEEN(0, 4294967295), 8),5)</f>
        <v>644A8</v>
      </c>
    </row>
    <row r="34" spans="1:1" ht="15.75" customHeight="1" x14ac:dyDescent="0.2"/>
    <row r="35" spans="1:1" ht="15.75" customHeight="1" x14ac:dyDescent="0.2"/>
    <row r="36" spans="1:1" ht="15.75" customHeight="1" x14ac:dyDescent="0.2"/>
    <row r="37" spans="1:1" ht="15.75" customHeight="1" x14ac:dyDescent="0.2"/>
    <row r="38" spans="1:1" ht="15.75" customHeight="1" x14ac:dyDescent="0.2"/>
    <row r="39" spans="1:1" ht="15.75" customHeight="1" x14ac:dyDescent="0.2"/>
    <row r="40" spans="1:1" ht="15.75" customHeight="1" x14ac:dyDescent="0.2">
      <c r="A40" s="86" t="str">
        <f ca="1">RIGHT(DEC2HEX(RANDBETWEEN(0, 4294967295), 8),5)</f>
        <v>59B52</v>
      </c>
    </row>
    <row r="41" spans="1:1" ht="15.75" customHeight="1" x14ac:dyDescent="0.2">
      <c r="A41" s="86" t="str">
        <f ca="1">RIGHT(DEC2HEX(RANDBETWEEN(0, 4294967295), 8),5)</f>
        <v>77EA4</v>
      </c>
    </row>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2">
    <mergeCell ref="A18:B18"/>
    <mergeCell ref="A17:B17"/>
  </mergeCells>
  <hyperlinks>
    <hyperlink ref="A30" r:id="rId1" xr:uid="{6725EB27-0CC0-4DF2-A66D-C8452C292B31}"/>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4F"/>
  </sheetPr>
  <dimension ref="A1:KB113"/>
  <sheetViews>
    <sheetView tabSelected="1" zoomScale="125" workbookViewId="0">
      <pane xSplit="2" topLeftCell="C1" activePane="topRight" state="frozen"/>
      <selection activeCell="A19" sqref="A19"/>
      <selection pane="topRight" activeCell="W86" sqref="W86"/>
    </sheetView>
  </sheetViews>
  <sheetFormatPr baseColWidth="10" defaultColWidth="9" defaultRowHeight="15" customHeight="1" x14ac:dyDescent="0.2"/>
  <cols>
    <col min="1" max="1" width="6.6640625" customWidth="1"/>
    <col min="2" max="2" width="16.33203125" style="44" customWidth="1"/>
    <col min="3" max="3" width="25.33203125" style="43" customWidth="1"/>
    <col min="4" max="4" width="26.1640625" style="43" customWidth="1"/>
    <col min="5" max="5" width="14.6640625" style="43" customWidth="1"/>
    <col min="6" max="7" width="17.1640625" style="43" customWidth="1"/>
    <col min="8" max="9" width="34.5" style="43" customWidth="1"/>
    <col min="10" max="10" width="13.5" style="43" customWidth="1"/>
    <col min="11" max="11" width="13.6640625" style="43" customWidth="1"/>
    <col min="12" max="12" width="11.6640625" style="44" customWidth="1"/>
    <col min="13" max="13" width="47.1640625" style="44" customWidth="1"/>
    <col min="14" max="14" width="29.33203125" style="44" customWidth="1"/>
    <col min="15" max="15" width="7.6640625" style="44" customWidth="1"/>
    <col min="16" max="16" width="3.83203125" style="44" customWidth="1"/>
    <col min="17" max="17" width="6.1640625" style="44" customWidth="1"/>
    <col min="18" max="18" width="4.1640625" style="44" customWidth="1"/>
    <col min="19" max="19" width="20" style="44" customWidth="1"/>
    <col min="20" max="20" width="10.6640625" style="44" customWidth="1"/>
    <col min="21" max="21" width="8.1640625" style="44" customWidth="1"/>
    <col min="22" max="22" width="8.5" style="44" customWidth="1"/>
    <col min="23" max="23" width="10.33203125" style="102" customWidth="1"/>
    <col min="24" max="24" width="10.33203125" style="44" customWidth="1"/>
    <col min="25" max="25" width="6.1640625" customWidth="1"/>
    <col min="26" max="26" width="11.1640625" customWidth="1"/>
    <col min="27" max="27" width="8.1640625" customWidth="1"/>
    <col min="28" max="28" width="12.5" customWidth="1"/>
    <col min="29" max="30" width="9.6640625" customWidth="1"/>
    <col min="31" max="31" width="17" hidden="1" customWidth="1"/>
    <col min="32" max="32" width="10.6640625" hidden="1" customWidth="1"/>
    <col min="33" max="33" width="9.83203125" hidden="1" customWidth="1"/>
    <col min="34" max="34" width="20.1640625" hidden="1" customWidth="1"/>
    <col min="35" max="35" width="28.1640625" style="49" hidden="1" customWidth="1"/>
    <col min="36" max="39" width="28.1640625" style="46" hidden="1" customWidth="1"/>
    <col min="40" max="40" width="28.1640625" style="43" hidden="1" customWidth="1"/>
    <col min="41" max="43" width="28.1640625" style="49" hidden="1" customWidth="1"/>
    <col min="44" max="46" width="28.1640625" style="46" hidden="1" customWidth="1"/>
    <col min="47" max="47" width="28.1640625" style="43" hidden="1" customWidth="1"/>
    <col min="48" max="48" width="28.1640625" style="49" hidden="1" customWidth="1"/>
    <col min="49" max="50" width="28.1640625" style="46" hidden="1" customWidth="1"/>
    <col min="51" max="51" width="28.1640625" style="43" hidden="1" customWidth="1"/>
    <col min="52" max="56" width="28.1640625" style="45" hidden="1" customWidth="1"/>
    <col min="57" max="57" width="14.6640625" style="45" hidden="1" customWidth="1"/>
    <col min="58" max="58" width="15.5" style="45" hidden="1" customWidth="1"/>
    <col min="59" max="59" width="58.1640625" style="45" hidden="1" customWidth="1"/>
    <col min="60" max="60" width="71.6640625" style="45" hidden="1" customWidth="1"/>
    <col min="61" max="61" width="56" style="49" hidden="1" customWidth="1"/>
    <col min="62" max="62" width="86.6640625" style="43" hidden="1" customWidth="1"/>
    <col min="63" max="63" width="74.6640625" style="44" hidden="1" customWidth="1"/>
    <col min="64" max="64" width="85.6640625" style="44" hidden="1" customWidth="1"/>
    <col min="65" max="65" width="95.33203125" style="43" hidden="1" customWidth="1"/>
    <col min="66" max="66" width="72.33203125" style="49" hidden="1" customWidth="1"/>
    <col min="67" max="67" width="86.6640625" style="49" hidden="1" customWidth="1"/>
    <col min="68" max="68" width="144.5" style="49" hidden="1" customWidth="1"/>
    <col min="69" max="69" width="76.83203125" style="49" hidden="1" customWidth="1"/>
    <col min="70" max="70" width="144.5" style="49" hidden="1" customWidth="1"/>
    <col min="71" max="71" width="76.83203125" style="49" hidden="1" customWidth="1"/>
    <col min="72" max="72" width="64" style="49" hidden="1" customWidth="1"/>
    <col min="73" max="73" width="77.6640625" style="49" hidden="1" customWidth="1"/>
    <col min="74" max="74" width="74.6640625" style="49" hidden="1" customWidth="1"/>
    <col min="75" max="75" width="49.1640625" style="49" hidden="1" customWidth="1"/>
    <col min="76" max="76" width="91.83203125" style="49" hidden="1" customWidth="1"/>
    <col min="77" max="77" width="74" style="49" hidden="1" customWidth="1"/>
    <col min="78" max="78" width="111.1640625" style="43" hidden="1" customWidth="1"/>
    <col min="79" max="79" width="74" style="45" hidden="1" customWidth="1"/>
    <col min="80" max="80" width="57.6640625" style="45" hidden="1" customWidth="1"/>
    <col min="81" max="81" width="25.1640625" style="45" hidden="1" customWidth="1"/>
    <col min="82" max="82" width="19.83203125" style="45" hidden="1" customWidth="1"/>
    <col min="83" max="83" width="30" style="45" hidden="1" customWidth="1"/>
    <col min="84" max="84" width="20.5" style="45" hidden="1" customWidth="1"/>
    <col min="85" max="85" width="33.1640625" style="45" hidden="1" customWidth="1"/>
    <col min="86" max="86" width="12.33203125" style="45" hidden="1" customWidth="1"/>
    <col min="87" max="87" width="35.1640625" style="45" hidden="1" customWidth="1"/>
    <col min="88" max="88" width="96.6640625" style="45" hidden="1" customWidth="1"/>
    <col min="89" max="89" width="36.6640625" style="44" hidden="1" customWidth="1"/>
    <col min="90" max="90" width="69.5" style="44" hidden="1" customWidth="1"/>
    <col min="91" max="91" width="61.33203125" style="44" hidden="1" customWidth="1"/>
    <col min="92" max="92" width="22" style="44" hidden="1" customWidth="1"/>
    <col min="93" max="93" width="45.1640625" hidden="1" customWidth="1"/>
    <col min="94" max="94" width="38.5" hidden="1" customWidth="1"/>
    <col min="95" max="95" width="41" hidden="1" customWidth="1"/>
    <col min="96" max="96" width="29.83203125" hidden="1" customWidth="1"/>
    <col min="97" max="97" width="36.33203125" hidden="1" customWidth="1"/>
    <col min="98" max="98" width="26.6640625" hidden="1" customWidth="1"/>
    <col min="99" max="99" width="90.6640625" hidden="1" customWidth="1"/>
    <col min="100" max="100" width="52.6640625" hidden="1" customWidth="1"/>
    <col min="101" max="101" width="67.33203125" hidden="1" customWidth="1"/>
    <col min="102" max="102" width="51.6640625" hidden="1" customWidth="1"/>
    <col min="103" max="103" width="53.1640625" hidden="1" customWidth="1"/>
    <col min="104" max="104" width="39" hidden="1" customWidth="1"/>
    <col min="105" max="105" width="75.6640625" hidden="1" customWidth="1"/>
    <col min="106" max="106" width="54.1640625" hidden="1" customWidth="1"/>
    <col min="107" max="107" width="64" hidden="1" customWidth="1"/>
    <col min="108" max="108" width="85" hidden="1" customWidth="1"/>
    <col min="109" max="109" width="63.83203125" hidden="1" customWidth="1"/>
    <col min="110" max="110" width="66.6640625" hidden="1" customWidth="1"/>
    <col min="111" max="111" width="78.6640625" hidden="1" customWidth="1"/>
    <col min="112" max="112" width="107.1640625" hidden="1" customWidth="1"/>
    <col min="113" max="113" width="37.6640625" hidden="1" customWidth="1"/>
    <col min="114" max="114" width="107.1640625" hidden="1" customWidth="1"/>
    <col min="115" max="115" width="0.1640625" style="49" customWidth="1"/>
    <col min="116" max="116" width="20.83203125" hidden="1" customWidth="1"/>
    <col min="117" max="122" width="21.6640625" hidden="1" customWidth="1"/>
    <col min="123" max="123" width="21.5" hidden="1" customWidth="1"/>
    <col min="124" max="128" width="21.83203125" hidden="1" customWidth="1"/>
    <col min="129" max="129" width="23.1640625" hidden="1" customWidth="1"/>
    <col min="130" max="132" width="20" hidden="1" customWidth="1"/>
    <col min="133" max="138" width="20.1640625" hidden="1" customWidth="1"/>
    <col min="139" max="139" width="25.33203125" hidden="1" customWidth="1"/>
    <col min="140" max="152" width="22.33203125" hidden="1" customWidth="1"/>
    <col min="153" max="155" width="22.33203125" customWidth="1"/>
    <col min="156" max="160" width="25" customWidth="1"/>
    <col min="161" max="161" width="17.83203125" style="44" customWidth="1"/>
    <col min="162" max="162" width="19.5" style="43" customWidth="1"/>
    <col min="163" max="164" width="20.33203125" style="44" customWidth="1"/>
    <col min="165" max="165" width="16.83203125" style="43" customWidth="1"/>
    <col min="166" max="166" width="21.6640625" style="44" customWidth="1"/>
    <col min="167" max="167" width="21.33203125" style="168" customWidth="1"/>
    <col min="168" max="168" width="21.33203125" style="44" customWidth="1"/>
    <col min="169" max="169" width="19" style="43" customWidth="1"/>
    <col min="170" max="170" width="19" style="44" customWidth="1"/>
    <col min="171" max="171" width="21.33203125" style="43" customWidth="1"/>
    <col min="172" max="172" width="21.33203125" style="44" customWidth="1"/>
    <col min="173" max="174" width="19" style="44" customWidth="1"/>
    <col min="175" max="176" width="21.33203125" style="44" customWidth="1"/>
    <col min="177" max="177" width="19" style="43" customWidth="1"/>
    <col min="178" max="178" width="19" style="44" customWidth="1"/>
    <col min="179" max="179" width="21.33203125" style="43" customWidth="1"/>
    <col min="180" max="180" width="19" style="44" customWidth="1"/>
    <col min="181" max="185" width="9" style="44"/>
  </cols>
  <sheetData>
    <row r="1" spans="1:185" s="67" customFormat="1" ht="15.75" customHeight="1" x14ac:dyDescent="0.2">
      <c r="A1" s="58" t="s">
        <v>137</v>
      </c>
      <c r="B1" s="59" t="s">
        <v>138</v>
      </c>
      <c r="C1" s="82" t="s">
        <v>139</v>
      </c>
      <c r="D1" s="60" t="s">
        <v>140</v>
      </c>
      <c r="E1" s="60" t="s">
        <v>141</v>
      </c>
      <c r="F1" s="82" t="s">
        <v>142</v>
      </c>
      <c r="G1" s="126" t="s">
        <v>143</v>
      </c>
      <c r="H1" s="60" t="s">
        <v>144</v>
      </c>
      <c r="I1" s="60" t="s">
        <v>145</v>
      </c>
      <c r="J1" s="60" t="s">
        <v>146</v>
      </c>
      <c r="K1" s="60" t="s">
        <v>147</v>
      </c>
      <c r="L1" s="75" t="s">
        <v>148</v>
      </c>
      <c r="M1" s="74" t="s">
        <v>149</v>
      </c>
      <c r="N1" s="60" t="s">
        <v>150</v>
      </c>
      <c r="O1" s="62" t="s">
        <v>151</v>
      </c>
      <c r="P1" s="60" t="s">
        <v>152</v>
      </c>
      <c r="Q1" s="60" t="s">
        <v>153</v>
      </c>
      <c r="R1" s="61" t="s">
        <v>154</v>
      </c>
      <c r="S1" s="83" t="s">
        <v>155</v>
      </c>
      <c r="T1" s="83" t="s">
        <v>156</v>
      </c>
      <c r="U1" s="83" t="s">
        <v>157</v>
      </c>
      <c r="V1" s="64" t="s">
        <v>158</v>
      </c>
      <c r="W1" s="101" t="s">
        <v>159</v>
      </c>
      <c r="X1" s="57" t="s">
        <v>160</v>
      </c>
      <c r="Y1" s="58" t="s">
        <v>161</v>
      </c>
      <c r="Z1" s="58" t="s">
        <v>162</v>
      </c>
      <c r="AA1" s="58" t="s">
        <v>163</v>
      </c>
      <c r="AB1" s="58" t="s">
        <v>164</v>
      </c>
      <c r="AC1" s="61" t="s">
        <v>165</v>
      </c>
      <c r="AD1" s="84" t="s">
        <v>166</v>
      </c>
      <c r="AE1" s="84" t="s">
        <v>167</v>
      </c>
      <c r="AF1" s="61" t="s">
        <v>168</v>
      </c>
      <c r="AG1" s="61" t="s">
        <v>169</v>
      </c>
      <c r="AH1" s="61" t="s">
        <v>170</v>
      </c>
      <c r="AI1" s="61" t="s">
        <v>171</v>
      </c>
      <c r="AJ1" s="60" t="s">
        <v>172</v>
      </c>
      <c r="AK1" s="84" t="s">
        <v>173</v>
      </c>
      <c r="AL1" s="84" t="s">
        <v>174</v>
      </c>
      <c r="AM1" s="84" t="s">
        <v>175</v>
      </c>
      <c r="AN1" s="61" t="s">
        <v>176</v>
      </c>
      <c r="AO1" s="61" t="s">
        <v>177</v>
      </c>
      <c r="AP1" s="61" t="s">
        <v>178</v>
      </c>
      <c r="AQ1" s="60" t="s">
        <v>179</v>
      </c>
      <c r="AR1" s="84" t="s">
        <v>180</v>
      </c>
      <c r="AS1" s="61" t="s">
        <v>181</v>
      </c>
      <c r="AT1" s="61" t="s">
        <v>182</v>
      </c>
      <c r="AU1" s="60" t="s">
        <v>183</v>
      </c>
      <c r="AV1" s="62" t="s">
        <v>184</v>
      </c>
      <c r="AW1" s="62" t="s">
        <v>185</v>
      </c>
      <c r="AX1" s="62" t="s">
        <v>186</v>
      </c>
      <c r="AY1" s="62" t="s">
        <v>187</v>
      </c>
      <c r="AZ1" s="62" t="s">
        <v>188</v>
      </c>
      <c r="BA1" s="62" t="s">
        <v>189</v>
      </c>
      <c r="BB1" s="62" t="s">
        <v>190</v>
      </c>
      <c r="BC1" s="62" t="s">
        <v>191</v>
      </c>
      <c r="BD1" s="62" t="s">
        <v>192</v>
      </c>
      <c r="BE1" s="84" t="s">
        <v>193</v>
      </c>
      <c r="BF1" s="60" t="s">
        <v>194</v>
      </c>
      <c r="BG1" s="62" t="s">
        <v>195</v>
      </c>
      <c r="BH1" s="65" t="s">
        <v>196</v>
      </c>
      <c r="BI1" s="60" t="s">
        <v>197</v>
      </c>
      <c r="BJ1" s="84" t="s">
        <v>198</v>
      </c>
      <c r="BK1" s="84" t="s">
        <v>199</v>
      </c>
      <c r="BL1" s="84" t="s">
        <v>200</v>
      </c>
      <c r="BM1" s="84" t="s">
        <v>201</v>
      </c>
      <c r="BN1" s="84" t="s">
        <v>202</v>
      </c>
      <c r="BO1" s="84" t="s">
        <v>203</v>
      </c>
      <c r="BP1" s="84" t="s">
        <v>204</v>
      </c>
      <c r="BQ1" s="84" t="s">
        <v>205</v>
      </c>
      <c r="BR1" s="84" t="s">
        <v>206</v>
      </c>
      <c r="BS1" s="84" t="s">
        <v>207</v>
      </c>
      <c r="BT1" s="84" t="s">
        <v>208</v>
      </c>
      <c r="BU1" s="84" t="s">
        <v>209</v>
      </c>
      <c r="BV1" s="60" t="s">
        <v>210</v>
      </c>
      <c r="BW1" s="60" t="s">
        <v>211</v>
      </c>
      <c r="BX1" s="60" t="s">
        <v>212</v>
      </c>
      <c r="BY1" s="60" t="s">
        <v>213</v>
      </c>
      <c r="BZ1" s="60" t="s">
        <v>214</v>
      </c>
      <c r="CA1" s="60" t="s">
        <v>215</v>
      </c>
      <c r="CB1" s="60" t="s">
        <v>216</v>
      </c>
      <c r="CC1" s="60" t="s">
        <v>217</v>
      </c>
      <c r="CD1" s="60" t="s">
        <v>218</v>
      </c>
      <c r="CE1" s="60" t="s">
        <v>219</v>
      </c>
      <c r="CF1" s="60" t="s">
        <v>220</v>
      </c>
      <c r="CG1" s="65" t="s">
        <v>221</v>
      </c>
      <c r="CH1" s="65" t="s">
        <v>222</v>
      </c>
      <c r="CI1" s="65" t="s">
        <v>223</v>
      </c>
      <c r="CJ1" s="65" t="s">
        <v>224</v>
      </c>
      <c r="CK1" s="88" t="s">
        <v>225</v>
      </c>
      <c r="CL1" s="88" t="s">
        <v>226</v>
      </c>
      <c r="CM1" s="88" t="s">
        <v>227</v>
      </c>
      <c r="CN1" s="88" t="s">
        <v>228</v>
      </c>
      <c r="CO1" s="88" t="s">
        <v>229</v>
      </c>
      <c r="CP1" s="88" t="s">
        <v>230</v>
      </c>
      <c r="CQ1" s="88" t="s">
        <v>231</v>
      </c>
      <c r="CR1" s="88" t="s">
        <v>232</v>
      </c>
      <c r="CS1" s="88" t="s">
        <v>233</v>
      </c>
      <c r="CT1" s="88" t="s">
        <v>234</v>
      </c>
      <c r="CU1" s="88" t="s">
        <v>235</v>
      </c>
      <c r="CV1" s="88" t="s">
        <v>236</v>
      </c>
      <c r="CW1" s="88" t="s">
        <v>237</v>
      </c>
      <c r="CX1" s="88" t="s">
        <v>238</v>
      </c>
      <c r="CY1" s="88" t="s">
        <v>239</v>
      </c>
      <c r="CZ1" s="88" t="s">
        <v>240</v>
      </c>
      <c r="DA1" s="88" t="s">
        <v>241</v>
      </c>
      <c r="DB1" s="88" t="s">
        <v>242</v>
      </c>
      <c r="DC1" s="88" t="s">
        <v>243</v>
      </c>
      <c r="DD1" s="88" t="s">
        <v>244</v>
      </c>
      <c r="DE1" s="88" t="s">
        <v>245</v>
      </c>
      <c r="DF1" s="88" t="s">
        <v>246</v>
      </c>
      <c r="DG1" s="84" t="s">
        <v>247</v>
      </c>
      <c r="DH1" s="88" t="s">
        <v>248</v>
      </c>
      <c r="DI1" s="88" t="s">
        <v>249</v>
      </c>
      <c r="DJ1" s="88" t="s">
        <v>250</v>
      </c>
      <c r="DK1" s="88" t="s">
        <v>251</v>
      </c>
      <c r="DL1" s="88" t="s">
        <v>252</v>
      </c>
      <c r="DM1" s="88" t="s">
        <v>253</v>
      </c>
      <c r="DN1" s="88" t="s">
        <v>254</v>
      </c>
      <c r="DO1" s="88" t="s">
        <v>255</v>
      </c>
      <c r="DP1" s="115" t="s">
        <v>256</v>
      </c>
      <c r="DQ1" s="115" t="s">
        <v>257</v>
      </c>
      <c r="DR1" s="115" t="s">
        <v>258</v>
      </c>
      <c r="DS1" s="115" t="s">
        <v>259</v>
      </c>
      <c r="DT1" s="129" t="s">
        <v>260</v>
      </c>
      <c r="DU1" s="129" t="s">
        <v>261</v>
      </c>
      <c r="DV1" s="129" t="s">
        <v>262</v>
      </c>
      <c r="DW1" s="129" t="s">
        <v>263</v>
      </c>
      <c r="DX1" s="129" t="s">
        <v>264</v>
      </c>
      <c r="DY1" s="129" t="s">
        <v>265</v>
      </c>
      <c r="DZ1" s="129" t="s">
        <v>266</v>
      </c>
      <c r="EA1" s="129" t="s">
        <v>267</v>
      </c>
      <c r="EB1" s="129" t="s">
        <v>268</v>
      </c>
      <c r="EC1" s="129" t="s">
        <v>269</v>
      </c>
      <c r="ED1" s="129" t="s">
        <v>270</v>
      </c>
      <c r="EE1" s="129" t="s">
        <v>271</v>
      </c>
      <c r="EF1" s="129" t="s">
        <v>272</v>
      </c>
      <c r="EG1" s="129" t="s">
        <v>273</v>
      </c>
      <c r="EH1" s="129" t="s">
        <v>274</v>
      </c>
      <c r="EI1" s="129" t="s">
        <v>275</v>
      </c>
      <c r="EJ1" s="130" t="s">
        <v>276</v>
      </c>
      <c r="EK1" s="129" t="s">
        <v>277</v>
      </c>
      <c r="EL1" s="130" t="s">
        <v>278</v>
      </c>
      <c r="EM1" s="130" t="s">
        <v>279</v>
      </c>
      <c r="EN1" s="130" t="s">
        <v>280</v>
      </c>
      <c r="EO1" s="130" t="s">
        <v>281</v>
      </c>
      <c r="EP1" s="130" t="s">
        <v>282</v>
      </c>
      <c r="EQ1" s="130" t="s">
        <v>283</v>
      </c>
      <c r="ER1" s="130" t="s">
        <v>284</v>
      </c>
      <c r="ES1" s="130" t="s">
        <v>285</v>
      </c>
      <c r="ET1" s="130" t="s">
        <v>286</v>
      </c>
      <c r="EU1" s="130" t="s">
        <v>287</v>
      </c>
      <c r="EV1" s="130" t="s">
        <v>288</v>
      </c>
      <c r="EW1" s="129" t="s">
        <v>3921</v>
      </c>
      <c r="EX1" s="129" t="s">
        <v>3922</v>
      </c>
      <c r="EY1" s="129" t="s">
        <v>3984</v>
      </c>
      <c r="EZ1" s="129" t="s">
        <v>4046</v>
      </c>
      <c r="FA1" s="129" t="s">
        <v>4108</v>
      </c>
      <c r="FB1" s="129" t="s">
        <v>4170</v>
      </c>
      <c r="FC1" s="129" t="s">
        <v>4171</v>
      </c>
      <c r="FD1" s="129" t="s">
        <v>4172</v>
      </c>
      <c r="FE1" s="130" t="s">
        <v>4417</v>
      </c>
      <c r="FF1" s="63" t="s">
        <v>4418</v>
      </c>
      <c r="FG1" s="130" t="s">
        <v>4419</v>
      </c>
      <c r="FH1" s="130" t="s">
        <v>4420</v>
      </c>
      <c r="FI1" s="83" t="s">
        <v>4421</v>
      </c>
      <c r="FJ1" s="130" t="s">
        <v>4422</v>
      </c>
      <c r="FK1" s="83" t="s">
        <v>4423</v>
      </c>
      <c r="FL1" s="169" t="s">
        <v>4424</v>
      </c>
      <c r="FM1" s="63" t="s">
        <v>4425</v>
      </c>
      <c r="FN1" s="169" t="s">
        <v>4426</v>
      </c>
      <c r="FO1" s="63" t="s">
        <v>4427</v>
      </c>
      <c r="FP1" s="169" t="s">
        <v>4428</v>
      </c>
      <c r="FQ1" s="169" t="s">
        <v>4429</v>
      </c>
      <c r="FR1" s="169" t="s">
        <v>4430</v>
      </c>
      <c r="FS1" s="169" t="s">
        <v>4431</v>
      </c>
      <c r="FT1" s="169" t="s">
        <v>4432</v>
      </c>
      <c r="FU1" s="63" t="s">
        <v>4433</v>
      </c>
      <c r="FV1" s="169" t="s">
        <v>4434</v>
      </c>
      <c r="FW1" s="63" t="s">
        <v>4435</v>
      </c>
      <c r="FX1" s="169" t="s">
        <v>4436</v>
      </c>
      <c r="FY1" s="44"/>
      <c r="FZ1" s="44"/>
      <c r="GA1" s="44"/>
      <c r="GB1" s="44"/>
      <c r="GC1" s="66"/>
    </row>
    <row r="2" spans="1:185" s="67" customFormat="1" ht="15.75" customHeight="1" x14ac:dyDescent="0.2">
      <c r="A2" s="68" t="s">
        <v>289</v>
      </c>
      <c r="B2" s="189" t="s">
        <v>2815</v>
      </c>
      <c r="C2" s="189" t="s">
        <v>2889</v>
      </c>
      <c r="D2" s="211" t="s">
        <v>3147</v>
      </c>
      <c r="E2" s="70" t="s">
        <v>24</v>
      </c>
      <c r="F2" s="48" t="s">
        <v>24</v>
      </c>
      <c r="G2" s="48"/>
      <c r="H2" s="211" t="s">
        <v>3244</v>
      </c>
      <c r="I2" s="211" t="s">
        <v>3344</v>
      </c>
      <c r="J2" s="211" t="s">
        <v>24</v>
      </c>
      <c r="K2" s="211"/>
      <c r="L2" s="189">
        <v>4</v>
      </c>
      <c r="M2" s="211" t="s">
        <v>3455</v>
      </c>
      <c r="N2" s="211" t="s">
        <v>3555</v>
      </c>
      <c r="O2" s="189" t="s">
        <v>292</v>
      </c>
      <c r="P2" s="189" t="s">
        <v>293</v>
      </c>
      <c r="Q2" s="211">
        <v>27001</v>
      </c>
      <c r="R2" s="189" t="s">
        <v>294</v>
      </c>
      <c r="S2" s="189" t="s">
        <v>2989</v>
      </c>
      <c r="T2" s="189" t="s">
        <v>3089</v>
      </c>
      <c r="U2" s="211">
        <v>16</v>
      </c>
      <c r="V2" s="211" t="s">
        <v>3653</v>
      </c>
      <c r="W2" s="211" t="s">
        <v>297</v>
      </c>
      <c r="X2" s="53"/>
      <c r="Y2" s="211">
        <v>1</v>
      </c>
      <c r="Z2" s="53" t="s">
        <v>298</v>
      </c>
      <c r="AA2" s="189" t="s">
        <v>299</v>
      </c>
      <c r="AB2" s="189" t="s">
        <v>3144</v>
      </c>
      <c r="AC2" s="211" t="s">
        <v>3748</v>
      </c>
      <c r="AD2" s="161" t="b">
        <v>0</v>
      </c>
      <c r="AE2" s="48"/>
      <c r="AF2" s="53" t="s">
        <v>300</v>
      </c>
      <c r="AG2" s="48"/>
      <c r="AH2" s="53" t="s">
        <v>301</v>
      </c>
      <c r="AI2" s="48"/>
      <c r="AJ2" s="53" t="s">
        <v>301</v>
      </c>
      <c r="AK2" s="48"/>
      <c r="AL2" s="48" t="s">
        <v>302</v>
      </c>
      <c r="AM2" s="48"/>
      <c r="AN2" s="48" t="s">
        <v>302</v>
      </c>
      <c r="AO2" s="48"/>
      <c r="AP2" s="48" t="s">
        <v>303</v>
      </c>
      <c r="AQ2" s="48"/>
      <c r="AR2" s="48" t="s">
        <v>303</v>
      </c>
      <c r="AS2" s="48"/>
      <c r="AT2" s="48" t="s">
        <v>304</v>
      </c>
      <c r="AU2" s="48"/>
      <c r="AV2" s="48" t="s">
        <v>305</v>
      </c>
      <c r="AW2" s="48"/>
      <c r="AX2" s="48" t="s">
        <v>306</v>
      </c>
      <c r="AY2" s="48"/>
      <c r="AZ2" s="48" t="s">
        <v>306</v>
      </c>
      <c r="BA2" s="48"/>
      <c r="BB2" s="48"/>
      <c r="BC2" s="48"/>
      <c r="BD2" s="48" t="s">
        <v>307</v>
      </c>
      <c r="BE2" s="48"/>
      <c r="BF2" s="48" t="s">
        <v>307</v>
      </c>
      <c r="BG2" s="48"/>
      <c r="BH2" s="48" t="s">
        <v>308</v>
      </c>
      <c r="BI2" s="48"/>
      <c r="BJ2" s="48" t="s">
        <v>308</v>
      </c>
      <c r="BK2" s="48"/>
      <c r="BL2" s="48" t="s">
        <v>309</v>
      </c>
      <c r="BM2" s="48"/>
      <c r="BN2" s="48" t="s">
        <v>309</v>
      </c>
      <c r="BO2" s="48"/>
      <c r="BP2" s="48" t="s">
        <v>310</v>
      </c>
      <c r="BQ2" s="48"/>
      <c r="BR2" s="48"/>
      <c r="BS2" s="48" t="s">
        <v>311</v>
      </c>
      <c r="BT2" s="48"/>
      <c r="BU2" s="48" t="s">
        <v>311</v>
      </c>
      <c r="BV2" s="48"/>
      <c r="BW2" s="48" t="s">
        <v>312</v>
      </c>
      <c r="BX2" s="48"/>
      <c r="BY2" s="48" t="s">
        <v>312</v>
      </c>
      <c r="BZ2" s="48"/>
      <c r="CA2" s="48" t="s">
        <v>313</v>
      </c>
      <c r="CB2" s="48"/>
      <c r="CC2" s="48" t="s">
        <v>314</v>
      </c>
      <c r="CD2" s="48"/>
      <c r="CE2" s="48" t="s">
        <v>314</v>
      </c>
      <c r="CF2" s="48"/>
      <c r="CG2" s="48" t="s">
        <v>315</v>
      </c>
      <c r="CH2" s="48"/>
      <c r="CI2" s="48" t="s">
        <v>315</v>
      </c>
      <c r="CJ2" s="48"/>
      <c r="CK2" s="48" t="s">
        <v>316</v>
      </c>
      <c r="CL2" s="48"/>
      <c r="CM2" s="48" t="s">
        <v>316</v>
      </c>
      <c r="CN2" s="48"/>
      <c r="CO2" s="48" t="s">
        <v>317</v>
      </c>
      <c r="CP2" s="48"/>
      <c r="CQ2" s="48" t="s">
        <v>317</v>
      </c>
      <c r="CR2" s="48"/>
      <c r="CS2" s="48" t="s">
        <v>318</v>
      </c>
      <c r="CT2" s="48"/>
      <c r="CU2" s="48" t="s">
        <v>318</v>
      </c>
      <c r="CV2" s="48"/>
      <c r="CW2" s="48" t="s">
        <v>319</v>
      </c>
      <c r="CX2" s="48"/>
      <c r="CY2" s="48" t="s">
        <v>319</v>
      </c>
      <c r="CZ2" s="48"/>
      <c r="DA2" s="48" t="s">
        <v>320</v>
      </c>
      <c r="DB2" s="48"/>
      <c r="DC2" s="48" t="s">
        <v>320</v>
      </c>
      <c r="DD2" s="87"/>
      <c r="DE2" s="48" t="s">
        <v>321</v>
      </c>
      <c r="DF2" s="48"/>
      <c r="DG2" s="87" t="s">
        <v>310</v>
      </c>
      <c r="DH2" s="87" t="s">
        <v>321</v>
      </c>
      <c r="DI2" s="87"/>
      <c r="DJ2" s="48" t="s">
        <v>322</v>
      </c>
      <c r="DK2" s="48"/>
      <c r="DL2" s="48" t="s">
        <v>322</v>
      </c>
      <c r="DM2" s="48"/>
      <c r="DN2" s="48" t="s">
        <v>323</v>
      </c>
      <c r="DO2" s="48"/>
      <c r="DP2" s="48" t="s">
        <v>323</v>
      </c>
      <c r="DQ2" s="87"/>
      <c r="DR2" s="48" t="s">
        <v>324</v>
      </c>
      <c r="DS2" s="87"/>
      <c r="DT2" s="48" t="s">
        <v>324</v>
      </c>
      <c r="DU2" s="48"/>
      <c r="DV2" s="48" t="s">
        <v>325</v>
      </c>
      <c r="DW2" s="48"/>
      <c r="DX2" s="48" t="s">
        <v>325</v>
      </c>
      <c r="DY2" s="48"/>
      <c r="DZ2" s="48" t="s">
        <v>326</v>
      </c>
      <c r="EA2" s="48"/>
      <c r="EB2" s="80" t="s">
        <v>326</v>
      </c>
      <c r="EC2" s="48"/>
      <c r="ED2" s="48" t="s">
        <v>327</v>
      </c>
      <c r="EE2" s="48"/>
      <c r="EF2" s="48" t="s">
        <v>328</v>
      </c>
      <c r="EG2" s="48"/>
      <c r="EH2" s="48" t="s">
        <v>328</v>
      </c>
      <c r="EI2" s="48"/>
      <c r="EJ2" s="48" t="s">
        <v>329</v>
      </c>
      <c r="EK2" s="87"/>
      <c r="EL2" s="87" t="s">
        <v>329</v>
      </c>
      <c r="EM2" s="48"/>
      <c r="EN2" s="55" t="s">
        <v>330</v>
      </c>
      <c r="EO2" s="48"/>
      <c r="EP2" s="48" t="s">
        <v>330</v>
      </c>
      <c r="EQ2" s="48"/>
      <c r="ER2" s="52" t="s">
        <v>331</v>
      </c>
      <c r="ES2" s="48"/>
      <c r="ET2" s="71" t="s">
        <v>332</v>
      </c>
      <c r="EU2" s="134"/>
      <c r="EV2" s="80" t="s">
        <v>332</v>
      </c>
      <c r="EW2" s="211" t="s">
        <v>3848</v>
      </c>
      <c r="EX2" s="211" t="s">
        <v>3923</v>
      </c>
      <c r="EY2" s="211" t="s">
        <v>3985</v>
      </c>
      <c r="EZ2" s="211" t="s">
        <v>4047</v>
      </c>
      <c r="FA2" s="211" t="s">
        <v>4109</v>
      </c>
      <c r="FB2" s="211" t="s">
        <v>4173</v>
      </c>
      <c r="FC2" s="211" t="s">
        <v>4234</v>
      </c>
      <c r="FD2" s="211" t="s">
        <v>4295</v>
      </c>
      <c r="FE2" s="211" t="s">
        <v>4356</v>
      </c>
      <c r="FF2" s="183"/>
      <c r="FG2" s="134"/>
      <c r="FH2" s="145"/>
      <c r="FI2" s="134"/>
      <c r="FJ2" s="174"/>
      <c r="FK2" s="134"/>
      <c r="FL2" s="174"/>
      <c r="FM2" s="134"/>
      <c r="FN2" s="136"/>
      <c r="FO2" s="134"/>
      <c r="FP2" s="142"/>
      <c r="FQ2" s="136"/>
      <c r="FR2" s="134"/>
      <c r="FS2" s="136"/>
      <c r="FT2" s="136"/>
      <c r="FU2" s="136"/>
      <c r="FV2" s="160"/>
      <c r="FW2" s="136"/>
      <c r="FX2" s="160"/>
      <c r="FY2" s="44"/>
      <c r="FZ2" s="44"/>
      <c r="GA2" s="44"/>
      <c r="GB2" s="44"/>
      <c r="GC2" s="66"/>
    </row>
    <row r="3" spans="1:185" ht="12.75" customHeight="1" x14ac:dyDescent="0.2">
      <c r="A3" s="185" t="s">
        <v>289</v>
      </c>
      <c r="B3" s="189" t="s">
        <v>2816</v>
      </c>
      <c r="C3" s="189" t="s">
        <v>2890</v>
      </c>
      <c r="D3" s="211" t="s">
        <v>3148</v>
      </c>
      <c r="E3" s="53" t="s">
        <v>472</v>
      </c>
      <c r="F3" s="53" t="s">
        <v>24</v>
      </c>
      <c r="G3" s="53"/>
      <c r="H3" s="211" t="s">
        <v>3245</v>
      </c>
      <c r="I3" s="211" t="s">
        <v>3345</v>
      </c>
      <c r="J3" s="211" t="s">
        <v>472</v>
      </c>
      <c r="K3" s="211"/>
      <c r="L3" s="189">
        <v>1</v>
      </c>
      <c r="M3" s="211" t="s">
        <v>3456</v>
      </c>
      <c r="N3" s="211" t="s">
        <v>3556</v>
      </c>
      <c r="O3" s="189" t="s">
        <v>292</v>
      </c>
      <c r="P3" s="189" t="s">
        <v>293</v>
      </c>
      <c r="Q3" s="211">
        <v>27002</v>
      </c>
      <c r="R3" s="189" t="s">
        <v>294</v>
      </c>
      <c r="S3" s="189" t="s">
        <v>2990</v>
      </c>
      <c r="T3" s="189" t="s">
        <v>3090</v>
      </c>
      <c r="U3" s="211">
        <v>5</v>
      </c>
      <c r="V3" s="211" t="s">
        <v>3653</v>
      </c>
      <c r="W3" s="211" t="s">
        <v>335</v>
      </c>
      <c r="X3" s="53"/>
      <c r="Y3" s="211">
        <v>1</v>
      </c>
      <c r="Z3" s="53" t="s">
        <v>298</v>
      </c>
      <c r="AA3" s="189" t="s">
        <v>3142</v>
      </c>
      <c r="AB3" s="189" t="s">
        <v>336</v>
      </c>
      <c r="AC3" s="211" t="s">
        <v>3749</v>
      </c>
      <c r="AD3" s="161" t="b">
        <v>0</v>
      </c>
      <c r="AE3" s="48"/>
      <c r="AF3" s="53" t="s">
        <v>337</v>
      </c>
      <c r="AG3" s="48"/>
      <c r="AH3" s="53" t="s">
        <v>338</v>
      </c>
      <c r="AI3" s="48"/>
      <c r="AJ3" s="53" t="s">
        <v>339</v>
      </c>
      <c r="AK3" s="48"/>
      <c r="AL3" s="48" t="s">
        <v>340</v>
      </c>
      <c r="AM3" s="48"/>
      <c r="AN3" s="48" t="s">
        <v>341</v>
      </c>
      <c r="AO3" s="48"/>
      <c r="AP3" s="48" t="s">
        <v>341</v>
      </c>
      <c r="AQ3" s="48"/>
      <c r="AR3" s="48" t="s">
        <v>342</v>
      </c>
      <c r="AS3" s="48"/>
      <c r="AT3" s="48" t="s">
        <v>343</v>
      </c>
      <c r="AU3" s="48"/>
      <c r="AV3" s="48" t="s">
        <v>344</v>
      </c>
      <c r="AW3" s="48"/>
      <c r="AX3" s="48" t="s">
        <v>345</v>
      </c>
      <c r="AY3" s="48"/>
      <c r="AZ3" s="48" t="s">
        <v>345</v>
      </c>
      <c r="BA3" s="48"/>
      <c r="BB3" s="48"/>
      <c r="BC3" s="48"/>
      <c r="BD3" s="48" t="s">
        <v>346</v>
      </c>
      <c r="BE3" s="48"/>
      <c r="BF3" s="48" t="s">
        <v>347</v>
      </c>
      <c r="BG3" s="48"/>
      <c r="BH3" s="48" t="s">
        <v>348</v>
      </c>
      <c r="BI3" s="48"/>
      <c r="BJ3" s="48" t="s">
        <v>349</v>
      </c>
      <c r="BK3" s="48"/>
      <c r="BL3" s="48" t="s">
        <v>349</v>
      </c>
      <c r="BM3" s="48"/>
      <c r="BN3" s="48" t="s">
        <v>350</v>
      </c>
      <c r="BO3" s="48"/>
      <c r="BP3" s="48" t="s">
        <v>351</v>
      </c>
      <c r="BQ3" s="48"/>
      <c r="BR3" s="48"/>
      <c r="BS3" s="48" t="s">
        <v>324</v>
      </c>
      <c r="BT3" s="48"/>
      <c r="BU3" s="48" t="s">
        <v>352</v>
      </c>
      <c r="BV3" s="48"/>
      <c r="BW3" s="48" t="s">
        <v>353</v>
      </c>
      <c r="BX3" s="48"/>
      <c r="BY3" s="48" t="s">
        <v>354</v>
      </c>
      <c r="BZ3" s="48"/>
      <c r="CA3" s="48" t="s">
        <v>354</v>
      </c>
      <c r="CB3" s="48"/>
      <c r="CC3" s="48" t="s">
        <v>314</v>
      </c>
      <c r="CD3" s="48"/>
      <c r="CE3" s="48" t="s">
        <v>314</v>
      </c>
      <c r="CF3" s="48"/>
      <c r="CG3" s="48" t="s">
        <v>355</v>
      </c>
      <c r="CH3" s="48"/>
      <c r="CI3" s="48" t="s">
        <v>355</v>
      </c>
      <c r="CJ3" s="48"/>
      <c r="CK3" s="48" t="s">
        <v>356</v>
      </c>
      <c r="CL3" s="48"/>
      <c r="CM3" s="48" t="s">
        <v>357</v>
      </c>
      <c r="CN3" s="48"/>
      <c r="CO3" s="48" t="s">
        <v>357</v>
      </c>
      <c r="CP3" s="48"/>
      <c r="CQ3" s="48" t="s">
        <v>358</v>
      </c>
      <c r="CR3" s="48"/>
      <c r="CS3" s="48" t="s">
        <v>358</v>
      </c>
      <c r="CT3" s="48"/>
      <c r="CU3" s="48" t="s">
        <v>359</v>
      </c>
      <c r="CV3" s="48"/>
      <c r="CW3" s="48" t="s">
        <v>359</v>
      </c>
      <c r="CX3" s="48"/>
      <c r="CY3" s="48" t="s">
        <v>360</v>
      </c>
      <c r="CZ3" s="48"/>
      <c r="DA3" s="48" t="s">
        <v>360</v>
      </c>
      <c r="DB3" s="48"/>
      <c r="DC3" s="48" t="s">
        <v>361</v>
      </c>
      <c r="DD3" s="48"/>
      <c r="DE3" s="48" t="s">
        <v>361</v>
      </c>
      <c r="DF3" s="48"/>
      <c r="DG3" s="48" t="s">
        <v>324</v>
      </c>
      <c r="DH3" s="48" t="s">
        <v>362</v>
      </c>
      <c r="DI3" s="48"/>
      <c r="DJ3" s="48" t="s">
        <v>362</v>
      </c>
      <c r="DK3" s="48"/>
      <c r="DL3" s="48" t="s">
        <v>363</v>
      </c>
      <c r="DM3" s="48"/>
      <c r="DN3" s="48" t="s">
        <v>363</v>
      </c>
      <c r="DO3" s="48"/>
      <c r="DP3" s="48" t="s">
        <v>364</v>
      </c>
      <c r="DQ3" s="48"/>
      <c r="DR3" s="48" t="s">
        <v>365</v>
      </c>
      <c r="DS3" s="48"/>
      <c r="DT3" s="13" t="s">
        <v>366</v>
      </c>
      <c r="DU3" s="48"/>
      <c r="DV3" s="48" t="s">
        <v>367</v>
      </c>
      <c r="DW3" s="48"/>
      <c r="DX3" s="48" t="s">
        <v>368</v>
      </c>
      <c r="DY3" s="48"/>
      <c r="DZ3" s="48" t="s">
        <v>368</v>
      </c>
      <c r="EA3" s="48"/>
      <c r="EB3" s="80" t="s">
        <v>368</v>
      </c>
      <c r="EC3" s="48"/>
      <c r="ED3" s="48" t="s">
        <v>369</v>
      </c>
      <c r="EE3" s="48"/>
      <c r="EF3" s="48" t="s">
        <v>369</v>
      </c>
      <c r="EG3" s="48"/>
      <c r="EH3" s="92" t="s">
        <v>370</v>
      </c>
      <c r="EI3" s="52"/>
      <c r="EJ3" s="92" t="s">
        <v>370</v>
      </c>
      <c r="EK3" s="116"/>
      <c r="EL3" s="52" t="s">
        <v>371</v>
      </c>
      <c r="EM3" s="48"/>
      <c r="EN3" s="52" t="s">
        <v>371</v>
      </c>
      <c r="EO3" s="48"/>
      <c r="EP3" s="48" t="s">
        <v>372</v>
      </c>
      <c r="EQ3" s="48"/>
      <c r="ER3" s="48" t="s">
        <v>372</v>
      </c>
      <c r="ES3" s="48"/>
      <c r="ET3" s="71" t="s">
        <v>373</v>
      </c>
      <c r="EU3" s="142"/>
      <c r="EV3" s="80" t="s">
        <v>373</v>
      </c>
      <c r="EW3" s="211" t="s">
        <v>3849</v>
      </c>
      <c r="EX3" s="211" t="s">
        <v>3924</v>
      </c>
      <c r="EY3" s="211" t="s">
        <v>3986</v>
      </c>
      <c r="EZ3" s="211" t="s">
        <v>4048</v>
      </c>
      <c r="FA3" s="211" t="s">
        <v>4110</v>
      </c>
      <c r="FB3" s="211" t="s">
        <v>4174</v>
      </c>
      <c r="FC3" s="211" t="s">
        <v>4235</v>
      </c>
      <c r="FD3" s="211" t="s">
        <v>4296</v>
      </c>
      <c r="FE3" s="211" t="s">
        <v>4357</v>
      </c>
      <c r="FF3" s="134"/>
      <c r="FG3" s="151"/>
      <c r="FH3" s="134"/>
      <c r="FI3" s="134"/>
      <c r="FJ3" s="174"/>
      <c r="FK3" s="134"/>
      <c r="FL3" s="174"/>
      <c r="FM3" s="134"/>
      <c r="FN3" s="174"/>
      <c r="FO3" s="134"/>
      <c r="FP3" s="177"/>
      <c r="FQ3" s="136"/>
      <c r="FR3" s="134"/>
      <c r="FS3" s="136"/>
      <c r="FT3" s="136"/>
      <c r="FU3" s="136"/>
      <c r="FV3" s="160"/>
      <c r="FW3" s="136"/>
      <c r="FX3" s="160"/>
      <c r="FY3" s="56"/>
      <c r="FZ3" s="56"/>
      <c r="GA3" s="56"/>
      <c r="GB3" s="56"/>
    </row>
    <row r="4" spans="1:185" ht="12.75" customHeight="1" x14ac:dyDescent="0.2">
      <c r="A4" s="143" t="s">
        <v>289</v>
      </c>
      <c r="B4" s="189" t="s">
        <v>2817</v>
      </c>
      <c r="C4" s="189" t="s">
        <v>2891</v>
      </c>
      <c r="D4" s="211" t="s">
        <v>3149</v>
      </c>
      <c r="E4" s="53" t="s">
        <v>24</v>
      </c>
      <c r="F4" s="53" t="s">
        <v>24</v>
      </c>
      <c r="G4" s="53"/>
      <c r="H4" s="211" t="s">
        <v>3246</v>
      </c>
      <c r="I4" s="211" t="s">
        <v>3346</v>
      </c>
      <c r="J4" s="211" t="s">
        <v>870</v>
      </c>
      <c r="K4" s="211" t="s">
        <v>3444</v>
      </c>
      <c r="L4" s="189">
        <v>3</v>
      </c>
      <c r="M4" s="211" t="s">
        <v>3457</v>
      </c>
      <c r="N4" s="211" t="s">
        <v>3557</v>
      </c>
      <c r="O4" s="189" t="s">
        <v>292</v>
      </c>
      <c r="P4" s="189" t="s">
        <v>293</v>
      </c>
      <c r="Q4" s="211">
        <v>27003</v>
      </c>
      <c r="R4" s="189" t="s">
        <v>294</v>
      </c>
      <c r="S4" s="189" t="s">
        <v>2991</v>
      </c>
      <c r="T4" s="189" t="s">
        <v>3091</v>
      </c>
      <c r="U4" s="211">
        <v>15</v>
      </c>
      <c r="V4" s="211" t="s">
        <v>3653</v>
      </c>
      <c r="W4" s="211" t="s">
        <v>376</v>
      </c>
      <c r="X4" s="53"/>
      <c r="Y4" s="211">
        <v>1</v>
      </c>
      <c r="Z4" s="53" t="s">
        <v>298</v>
      </c>
      <c r="AA4" s="189" t="s">
        <v>299</v>
      </c>
      <c r="AB4" s="189" t="s">
        <v>3145</v>
      </c>
      <c r="AC4" s="211" t="s">
        <v>3750</v>
      </c>
      <c r="AD4" s="161" t="b">
        <v>1</v>
      </c>
      <c r="AE4" s="48"/>
      <c r="AF4" s="53" t="s">
        <v>377</v>
      </c>
      <c r="AG4" s="48"/>
      <c r="AH4" s="53" t="s">
        <v>301</v>
      </c>
      <c r="AI4" s="48"/>
      <c r="AJ4" s="53" t="s">
        <v>301</v>
      </c>
      <c r="AK4" s="48"/>
      <c r="AL4" s="48" t="s">
        <v>302</v>
      </c>
      <c r="AM4" s="48"/>
      <c r="AN4" s="48" t="s">
        <v>302</v>
      </c>
      <c r="AO4" s="48"/>
      <c r="AP4" s="48" t="s">
        <v>378</v>
      </c>
      <c r="AQ4" s="48"/>
      <c r="AR4" s="48" t="s">
        <v>378</v>
      </c>
      <c r="AS4" s="48"/>
      <c r="AT4" s="48" t="s">
        <v>379</v>
      </c>
      <c r="AU4" s="48"/>
      <c r="AV4" s="48" t="s">
        <v>379</v>
      </c>
      <c r="AW4" s="48"/>
      <c r="AX4" s="48" t="s">
        <v>380</v>
      </c>
      <c r="AY4" s="48"/>
      <c r="AZ4" s="48" t="s">
        <v>380</v>
      </c>
      <c r="BA4" s="48"/>
      <c r="BB4" s="48"/>
      <c r="BC4" s="48"/>
      <c r="BD4" s="53" t="s">
        <v>381</v>
      </c>
      <c r="BE4" s="48"/>
      <c r="BF4" s="53" t="s">
        <v>381</v>
      </c>
      <c r="BG4" s="48"/>
      <c r="BH4" s="48" t="s">
        <v>382</v>
      </c>
      <c r="BI4" s="48"/>
      <c r="BJ4" s="48" t="s">
        <v>382</v>
      </c>
      <c r="BK4" s="48"/>
      <c r="BL4" s="48" t="s">
        <v>383</v>
      </c>
      <c r="BM4" s="48"/>
      <c r="BN4" s="48" t="s">
        <v>384</v>
      </c>
      <c r="BO4" s="48"/>
      <c r="BP4" s="48" t="s">
        <v>385</v>
      </c>
      <c r="BQ4" s="48"/>
      <c r="BR4" s="48"/>
      <c r="BS4" s="81" t="s">
        <v>386</v>
      </c>
      <c r="BT4" s="48"/>
      <c r="BU4" s="48" t="s">
        <v>387</v>
      </c>
      <c r="BV4" s="48"/>
      <c r="BW4" s="48" t="s">
        <v>387</v>
      </c>
      <c r="BX4" s="48"/>
      <c r="BY4" s="48" t="s">
        <v>388</v>
      </c>
      <c r="BZ4" s="48"/>
      <c r="CA4" s="48" t="s">
        <v>389</v>
      </c>
      <c r="CB4" s="48"/>
      <c r="CC4" s="48" t="s">
        <v>390</v>
      </c>
      <c r="CD4" s="48"/>
      <c r="CE4" s="48" t="s">
        <v>391</v>
      </c>
      <c r="CF4" s="48"/>
      <c r="CG4" s="48" t="s">
        <v>392</v>
      </c>
      <c r="CH4" s="48"/>
      <c r="CI4" s="81" t="s">
        <v>393</v>
      </c>
      <c r="CJ4" s="48"/>
      <c r="CK4" s="178" t="s">
        <v>394</v>
      </c>
      <c r="CL4" s="81"/>
      <c r="CM4" s="48" t="s">
        <v>395</v>
      </c>
      <c r="CN4" s="48"/>
      <c r="CO4" s="48" t="s">
        <v>396</v>
      </c>
      <c r="CP4" s="48"/>
      <c r="CQ4" s="48" t="s">
        <v>358</v>
      </c>
      <c r="CR4" s="48"/>
      <c r="CS4" s="48" t="s">
        <v>358</v>
      </c>
      <c r="CT4" s="48"/>
      <c r="CU4" s="48" t="s">
        <v>359</v>
      </c>
      <c r="CV4" s="48"/>
      <c r="CW4" s="48" t="s">
        <v>359</v>
      </c>
      <c r="CX4" s="48"/>
      <c r="CY4" s="48" t="s">
        <v>397</v>
      </c>
      <c r="CZ4" s="48"/>
      <c r="DA4" s="48" t="s">
        <v>397</v>
      </c>
      <c r="DB4" s="48"/>
      <c r="DC4" s="48" t="s">
        <v>361</v>
      </c>
      <c r="DD4" s="48"/>
      <c r="DE4" s="48" t="s">
        <v>361</v>
      </c>
      <c r="DF4" s="48"/>
      <c r="DG4" s="48" t="s">
        <v>385</v>
      </c>
      <c r="DH4" s="48" t="s">
        <v>362</v>
      </c>
      <c r="DI4" s="48"/>
      <c r="DJ4" s="48" t="s">
        <v>362</v>
      </c>
      <c r="DK4" s="48"/>
      <c r="DL4" s="48" t="s">
        <v>363</v>
      </c>
      <c r="DM4" s="48"/>
      <c r="DN4" s="48" t="s">
        <v>363</v>
      </c>
      <c r="DO4" s="48"/>
      <c r="DP4" s="48" t="s">
        <v>364</v>
      </c>
      <c r="DQ4" s="48"/>
      <c r="DR4" s="48" t="s">
        <v>364</v>
      </c>
      <c r="DS4" s="48"/>
      <c r="DT4" s="13" t="s">
        <v>398</v>
      </c>
      <c r="DU4" s="48"/>
      <c r="DV4" s="13" t="s">
        <v>398</v>
      </c>
      <c r="DW4" s="48"/>
      <c r="DX4" s="48" t="s">
        <v>399</v>
      </c>
      <c r="DY4" s="48"/>
      <c r="DZ4" s="48" t="s">
        <v>400</v>
      </c>
      <c r="EA4" s="48"/>
      <c r="EB4" s="48" t="s">
        <v>401</v>
      </c>
      <c r="EC4" s="48"/>
      <c r="ED4" s="48" t="s">
        <v>402</v>
      </c>
      <c r="EE4" s="48"/>
      <c r="EF4" s="48" t="s">
        <v>402</v>
      </c>
      <c r="EG4" s="48"/>
      <c r="EH4" s="48" t="s">
        <v>403</v>
      </c>
      <c r="EI4" s="14"/>
      <c r="EJ4" s="48" t="s">
        <v>403</v>
      </c>
      <c r="EK4" s="56"/>
      <c r="EL4" s="52" t="s">
        <v>371</v>
      </c>
      <c r="EM4" s="48"/>
      <c r="EN4" s="52" t="s">
        <v>371</v>
      </c>
      <c r="EO4" s="48"/>
      <c r="EP4" s="48" t="s">
        <v>404</v>
      </c>
      <c r="EQ4" s="48"/>
      <c r="ER4" s="48" t="s">
        <v>404</v>
      </c>
      <c r="ES4" s="48"/>
      <c r="ET4" s="52" t="s">
        <v>405</v>
      </c>
      <c r="EU4" s="142"/>
      <c r="EV4" s="48" t="s">
        <v>405</v>
      </c>
      <c r="EW4" s="211" t="s">
        <v>3850</v>
      </c>
      <c r="EX4" s="211" t="s">
        <v>3925</v>
      </c>
      <c r="EY4" s="211" t="s">
        <v>3987</v>
      </c>
      <c r="EZ4" s="211" t="s">
        <v>4049</v>
      </c>
      <c r="FA4" s="211" t="s">
        <v>4111</v>
      </c>
      <c r="FB4" s="211" t="s">
        <v>4175</v>
      </c>
      <c r="FC4" s="211" t="s">
        <v>4236</v>
      </c>
      <c r="FD4" s="211" t="s">
        <v>4297</v>
      </c>
      <c r="FE4" s="211" t="s">
        <v>4358</v>
      </c>
      <c r="FF4" s="134"/>
      <c r="FG4" s="151"/>
      <c r="FH4" s="134"/>
      <c r="FI4" s="134"/>
      <c r="FJ4" s="174"/>
      <c r="FK4" s="134"/>
      <c r="FL4" s="174"/>
      <c r="FM4" s="134"/>
      <c r="FN4" s="174"/>
      <c r="FO4" s="134"/>
      <c r="FP4" s="177"/>
      <c r="FQ4" s="136"/>
      <c r="FR4" s="172"/>
      <c r="FS4" s="136"/>
      <c r="FT4" s="174"/>
      <c r="FU4" s="136"/>
      <c r="FV4" s="160"/>
      <c r="FW4" s="142"/>
      <c r="FX4" s="160"/>
      <c r="FY4" s="56"/>
      <c r="FZ4" s="56"/>
      <c r="GA4" s="56"/>
      <c r="GB4" s="56"/>
    </row>
    <row r="5" spans="1:185" ht="12.75" customHeight="1" x14ac:dyDescent="0.2">
      <c r="A5" s="143" t="s">
        <v>289</v>
      </c>
      <c r="B5" s="189" t="s">
        <v>2818</v>
      </c>
      <c r="C5" s="189" t="s">
        <v>2892</v>
      </c>
      <c r="D5" s="211" t="s">
        <v>3150</v>
      </c>
      <c r="E5" s="53" t="s">
        <v>24</v>
      </c>
      <c r="F5" s="53" t="s">
        <v>407</v>
      </c>
      <c r="G5" s="53"/>
      <c r="H5" s="211" t="s">
        <v>3247</v>
      </c>
      <c r="I5" s="211" t="s">
        <v>3347</v>
      </c>
      <c r="J5" s="211" t="s">
        <v>833</v>
      </c>
      <c r="K5" s="53"/>
      <c r="L5" s="189">
        <v>1</v>
      </c>
      <c r="M5" s="211" t="s">
        <v>3458</v>
      </c>
      <c r="N5" s="211" t="s">
        <v>3558</v>
      </c>
      <c r="O5" s="189" t="s">
        <v>292</v>
      </c>
      <c r="P5" s="189" t="s">
        <v>293</v>
      </c>
      <c r="Q5" s="211">
        <v>27004</v>
      </c>
      <c r="R5" s="189" t="s">
        <v>294</v>
      </c>
      <c r="S5" s="189" t="s">
        <v>2992</v>
      </c>
      <c r="T5" s="189" t="s">
        <v>813</v>
      </c>
      <c r="U5" s="211">
        <v>16</v>
      </c>
      <c r="V5" s="211" t="s">
        <v>3653</v>
      </c>
      <c r="W5" s="211" t="s">
        <v>409</v>
      </c>
      <c r="X5" s="53"/>
      <c r="Y5" s="211">
        <v>1</v>
      </c>
      <c r="Z5" s="53" t="s">
        <v>298</v>
      </c>
      <c r="AA5" s="189" t="s">
        <v>3142</v>
      </c>
      <c r="AB5" s="189" t="s">
        <v>3146</v>
      </c>
      <c r="AC5" s="211" t="s">
        <v>3751</v>
      </c>
      <c r="AD5" s="161" t="b">
        <v>0</v>
      </c>
      <c r="AE5" s="48"/>
      <c r="AF5" s="53" t="s">
        <v>411</v>
      </c>
      <c r="AG5" s="48"/>
      <c r="AH5" s="53" t="s">
        <v>411</v>
      </c>
      <c r="AI5" s="48"/>
      <c r="AJ5" s="48" t="s">
        <v>412</v>
      </c>
      <c r="AK5" s="48"/>
      <c r="AL5" s="48" t="s">
        <v>412</v>
      </c>
      <c r="AM5" s="48"/>
      <c r="AN5" s="48" t="s">
        <v>341</v>
      </c>
      <c r="AO5" s="48"/>
      <c r="AP5" s="48" t="s">
        <v>341</v>
      </c>
      <c r="AQ5" s="48"/>
      <c r="AR5" s="48" t="s">
        <v>413</v>
      </c>
      <c r="AS5" s="48"/>
      <c r="AT5" s="48" t="s">
        <v>413</v>
      </c>
      <c r="AU5" s="48"/>
      <c r="AV5" s="48" t="s">
        <v>414</v>
      </c>
      <c r="AW5" s="48"/>
      <c r="AX5" s="48" t="s">
        <v>414</v>
      </c>
      <c r="AY5" s="48"/>
      <c r="AZ5" s="48" t="s">
        <v>415</v>
      </c>
      <c r="BA5" s="48"/>
      <c r="BB5" s="48"/>
      <c r="BC5" s="48"/>
      <c r="BD5" s="48" t="s">
        <v>415</v>
      </c>
      <c r="BE5" s="48"/>
      <c r="BF5" s="48" t="s">
        <v>416</v>
      </c>
      <c r="BG5" s="48"/>
      <c r="BH5" s="48" t="s">
        <v>416</v>
      </c>
      <c r="BI5" s="48"/>
      <c r="BJ5" s="48" t="s">
        <v>417</v>
      </c>
      <c r="BK5" s="48"/>
      <c r="BL5" s="48" t="s">
        <v>417</v>
      </c>
      <c r="BM5" s="48"/>
      <c r="BN5" s="48" t="s">
        <v>418</v>
      </c>
      <c r="BO5" s="48"/>
      <c r="BP5" s="48" t="s">
        <v>418</v>
      </c>
      <c r="BQ5" s="48"/>
      <c r="BR5" s="48"/>
      <c r="BS5" s="48" t="s">
        <v>419</v>
      </c>
      <c r="BT5" s="48"/>
      <c r="BU5" s="48" t="s">
        <v>419</v>
      </c>
      <c r="BV5" s="48"/>
      <c r="BW5" s="48" t="s">
        <v>420</v>
      </c>
      <c r="BX5" s="48"/>
      <c r="BY5" s="48" t="s">
        <v>420</v>
      </c>
      <c r="BZ5" s="48"/>
      <c r="CA5" s="48" t="s">
        <v>421</v>
      </c>
      <c r="CB5" s="48"/>
      <c r="CC5" s="48" t="s">
        <v>421</v>
      </c>
      <c r="CD5" s="48"/>
      <c r="CE5" s="48" t="s">
        <v>422</v>
      </c>
      <c r="CF5" s="48"/>
      <c r="CG5" s="48" t="s">
        <v>422</v>
      </c>
      <c r="CH5" s="48"/>
      <c r="CI5" s="48" t="s">
        <v>423</v>
      </c>
      <c r="CJ5" s="48"/>
      <c r="CK5" s="48" t="s">
        <v>423</v>
      </c>
      <c r="CL5" s="48"/>
      <c r="CM5" s="48" t="s">
        <v>424</v>
      </c>
      <c r="CN5" s="48"/>
      <c r="CO5" s="48" t="s">
        <v>425</v>
      </c>
      <c r="CP5" s="48"/>
      <c r="CQ5" s="48" t="s">
        <v>425</v>
      </c>
      <c r="CR5" s="48"/>
      <c r="CS5" s="48" t="s">
        <v>426</v>
      </c>
      <c r="CT5" s="48"/>
      <c r="CU5" s="48" t="s">
        <v>426</v>
      </c>
      <c r="CV5" s="48"/>
      <c r="CW5" s="48"/>
      <c r="CX5" s="48"/>
      <c r="CY5" s="48" t="s">
        <v>427</v>
      </c>
      <c r="CZ5" s="48"/>
      <c r="DA5" s="48" t="s">
        <v>427</v>
      </c>
      <c r="DB5" s="48"/>
      <c r="DC5" s="48" t="s">
        <v>428</v>
      </c>
      <c r="DD5" s="48"/>
      <c r="DE5" s="48" t="s">
        <v>429</v>
      </c>
      <c r="DF5" s="48"/>
      <c r="DG5" s="48" t="s">
        <v>430</v>
      </c>
      <c r="DH5" s="48" t="s">
        <v>429</v>
      </c>
      <c r="DI5" s="48"/>
      <c r="DJ5" s="48" t="s">
        <v>322</v>
      </c>
      <c r="DK5" s="48"/>
      <c r="DL5" s="48" t="s">
        <v>322</v>
      </c>
      <c r="DM5" s="48"/>
      <c r="DN5" s="48" t="s">
        <v>431</v>
      </c>
      <c r="DO5" s="48"/>
      <c r="DP5" s="48" t="s">
        <v>431</v>
      </c>
      <c r="DQ5" s="48"/>
      <c r="DR5" s="48" t="s">
        <v>432</v>
      </c>
      <c r="DS5" s="48"/>
      <c r="DT5" s="48" t="s">
        <v>433</v>
      </c>
      <c r="DU5" s="48"/>
      <c r="DV5" s="48" t="s">
        <v>434</v>
      </c>
      <c r="DW5" s="48"/>
      <c r="DX5" s="48" t="s">
        <v>434</v>
      </c>
      <c r="DY5" s="48"/>
      <c r="DZ5" s="48" t="s">
        <v>435</v>
      </c>
      <c r="EA5" s="48"/>
      <c r="EB5" s="80" t="s">
        <v>435</v>
      </c>
      <c r="EC5" s="48"/>
      <c r="ED5" s="48" t="s">
        <v>369</v>
      </c>
      <c r="EE5" s="48"/>
      <c r="EF5" s="48" t="s">
        <v>369</v>
      </c>
      <c r="EG5" s="48"/>
      <c r="EH5" s="48" t="s">
        <v>403</v>
      </c>
      <c r="EI5" s="52"/>
      <c r="EJ5" s="48" t="s">
        <v>403</v>
      </c>
      <c r="EK5" s="56"/>
      <c r="EL5" s="52" t="s">
        <v>436</v>
      </c>
      <c r="EM5" s="48"/>
      <c r="EN5" s="52" t="s">
        <v>437</v>
      </c>
      <c r="EO5" s="48"/>
      <c r="EP5" s="48" t="s">
        <v>437</v>
      </c>
      <c r="EQ5" s="48"/>
      <c r="ER5" s="48" t="s">
        <v>331</v>
      </c>
      <c r="ES5" s="48"/>
      <c r="ET5" s="71" t="s">
        <v>373</v>
      </c>
      <c r="EU5" s="142"/>
      <c r="EV5" s="80" t="s">
        <v>373</v>
      </c>
      <c r="EW5" s="211" t="s">
        <v>3851</v>
      </c>
      <c r="EX5" s="211" t="s">
        <v>3926</v>
      </c>
      <c r="EY5" s="211" t="s">
        <v>3988</v>
      </c>
      <c r="EZ5" s="211" t="s">
        <v>4050</v>
      </c>
      <c r="FA5" s="211" t="s">
        <v>4112</v>
      </c>
      <c r="FB5" s="211" t="s">
        <v>4176</v>
      </c>
      <c r="FC5" s="211" t="s">
        <v>4237</v>
      </c>
      <c r="FD5" s="211" t="s">
        <v>4298</v>
      </c>
      <c r="FE5" s="211" t="s">
        <v>4359</v>
      </c>
      <c r="FF5" s="135"/>
      <c r="FG5" s="151"/>
      <c r="FH5" s="135"/>
      <c r="FI5" s="142"/>
      <c r="FJ5" s="160"/>
      <c r="FK5" s="134"/>
      <c r="FL5" s="160"/>
      <c r="FM5" s="134"/>
      <c r="FN5" s="174"/>
      <c r="FO5" s="136"/>
      <c r="FP5" s="172"/>
      <c r="FQ5" s="136"/>
      <c r="FR5" s="134"/>
      <c r="FS5" s="136"/>
      <c r="FT5" s="136"/>
      <c r="FU5" s="136"/>
      <c r="FV5" s="160"/>
      <c r="FW5" s="136"/>
      <c r="FX5" s="160"/>
      <c r="FY5" s="56"/>
      <c r="FZ5" s="56"/>
      <c r="GA5" s="56"/>
      <c r="GB5" s="56"/>
    </row>
    <row r="6" spans="1:185" ht="12.75" customHeight="1" x14ac:dyDescent="0.2">
      <c r="A6" s="184" t="s">
        <v>289</v>
      </c>
      <c r="B6" s="189" t="s">
        <v>2819</v>
      </c>
      <c r="C6" s="189" t="s">
        <v>2893</v>
      </c>
      <c r="D6" s="211" t="s">
        <v>3151</v>
      </c>
      <c r="E6" s="53" t="s">
        <v>698</v>
      </c>
      <c r="F6" s="53" t="s">
        <v>24</v>
      </c>
      <c r="G6" s="53"/>
      <c r="H6" s="211" t="s">
        <v>3248</v>
      </c>
      <c r="I6" s="211" t="s">
        <v>3348</v>
      </c>
      <c r="J6" s="211" t="s">
        <v>472</v>
      </c>
      <c r="K6" s="53"/>
      <c r="L6" s="189">
        <v>2</v>
      </c>
      <c r="M6" s="211" t="s">
        <v>3459</v>
      </c>
      <c r="N6" s="211" t="s">
        <v>3559</v>
      </c>
      <c r="O6" s="189" t="s">
        <v>292</v>
      </c>
      <c r="P6" s="189" t="s">
        <v>293</v>
      </c>
      <c r="Q6" s="211">
        <v>27005</v>
      </c>
      <c r="R6" s="189" t="s">
        <v>294</v>
      </c>
      <c r="S6" s="189" t="s">
        <v>2993</v>
      </c>
      <c r="T6" s="189" t="s">
        <v>3092</v>
      </c>
      <c r="U6" s="211">
        <v>17</v>
      </c>
      <c r="V6" s="211" t="s">
        <v>3653</v>
      </c>
      <c r="W6" s="211" t="s">
        <v>439</v>
      </c>
      <c r="X6" s="53"/>
      <c r="Y6" s="211">
        <v>2</v>
      </c>
      <c r="Z6" s="53" t="s">
        <v>298</v>
      </c>
      <c r="AA6" s="189" t="s">
        <v>3142</v>
      </c>
      <c r="AB6" s="189" t="s">
        <v>3146</v>
      </c>
      <c r="AC6" s="211" t="s">
        <v>3752</v>
      </c>
      <c r="AD6" s="161" t="b">
        <v>0</v>
      </c>
      <c r="AE6" s="48"/>
      <c r="AF6" s="53" t="s">
        <v>440</v>
      </c>
      <c r="AG6" s="48"/>
      <c r="AH6" s="53" t="s">
        <v>301</v>
      </c>
      <c r="AI6" s="48"/>
      <c r="AJ6" s="53" t="s">
        <v>301</v>
      </c>
      <c r="AK6" s="48"/>
      <c r="AL6" s="48" t="s">
        <v>302</v>
      </c>
      <c r="AM6" s="48"/>
      <c r="AN6" s="48" t="s">
        <v>302</v>
      </c>
      <c r="AO6" s="48"/>
      <c r="AP6" s="48" t="s">
        <v>441</v>
      </c>
      <c r="AQ6" s="48"/>
      <c r="AR6" s="48" t="s">
        <v>442</v>
      </c>
      <c r="AS6" s="48"/>
      <c r="AT6" s="48" t="s">
        <v>443</v>
      </c>
      <c r="AU6" s="48"/>
      <c r="AV6" s="48" t="s">
        <v>444</v>
      </c>
      <c r="AW6" s="48"/>
      <c r="AX6" s="48" t="s">
        <v>444</v>
      </c>
      <c r="AY6" s="48"/>
      <c r="AZ6" s="48" t="s">
        <v>445</v>
      </c>
      <c r="BA6" s="48"/>
      <c r="BB6" s="48"/>
      <c r="BC6" s="48"/>
      <c r="BD6" s="48" t="s">
        <v>445</v>
      </c>
      <c r="BE6" s="48"/>
      <c r="BF6" s="48" t="s">
        <v>446</v>
      </c>
      <c r="BG6" s="48"/>
      <c r="BH6" s="48" t="s">
        <v>447</v>
      </c>
      <c r="BI6" s="48"/>
      <c r="BJ6" s="48" t="s">
        <v>447</v>
      </c>
      <c r="BK6" s="48"/>
      <c r="BL6" s="48" t="s">
        <v>448</v>
      </c>
      <c r="BM6" s="48"/>
      <c r="BN6" s="48" t="s">
        <v>448</v>
      </c>
      <c r="BO6" s="48"/>
      <c r="BP6" s="48" t="s">
        <v>449</v>
      </c>
      <c r="BQ6" s="48"/>
      <c r="BR6" s="48"/>
      <c r="BS6" s="48" t="s">
        <v>311</v>
      </c>
      <c r="BT6" s="48"/>
      <c r="BU6" s="48" t="s">
        <v>311</v>
      </c>
      <c r="BV6" s="48"/>
      <c r="BW6" s="48" t="s">
        <v>424</v>
      </c>
      <c r="BX6" s="48"/>
      <c r="BY6" s="48" t="s">
        <v>450</v>
      </c>
      <c r="BZ6" s="48"/>
      <c r="CA6" s="48" t="s">
        <v>450</v>
      </c>
      <c r="CB6" s="48"/>
      <c r="CC6" s="48" t="s">
        <v>451</v>
      </c>
      <c r="CD6" s="48"/>
      <c r="CE6" s="48" t="s">
        <v>451</v>
      </c>
      <c r="CF6" s="48"/>
      <c r="CG6" s="48" t="s">
        <v>452</v>
      </c>
      <c r="CH6" s="48"/>
      <c r="CI6" s="48" t="s">
        <v>452</v>
      </c>
      <c r="CJ6" s="48"/>
      <c r="CK6" s="48" t="s">
        <v>453</v>
      </c>
      <c r="CL6" s="48"/>
      <c r="CM6" s="48" t="s">
        <v>453</v>
      </c>
      <c r="CN6" s="48"/>
      <c r="CO6" s="48" t="s">
        <v>454</v>
      </c>
      <c r="CP6" s="48"/>
      <c r="CQ6" s="48" t="s">
        <v>454</v>
      </c>
      <c r="CR6" s="48"/>
      <c r="CS6" s="48" t="s">
        <v>455</v>
      </c>
      <c r="CT6" s="48"/>
      <c r="CU6" s="48" t="s">
        <v>455</v>
      </c>
      <c r="CV6" s="48"/>
      <c r="CW6" s="48" t="s">
        <v>456</v>
      </c>
      <c r="CX6" s="48"/>
      <c r="CY6" s="48" t="s">
        <v>456</v>
      </c>
      <c r="CZ6" s="48"/>
      <c r="DA6" s="48" t="s">
        <v>457</v>
      </c>
      <c r="DB6" s="48"/>
      <c r="DC6" s="48" t="s">
        <v>458</v>
      </c>
      <c r="DD6" s="48"/>
      <c r="DE6" s="48" t="s">
        <v>458</v>
      </c>
      <c r="DF6" s="48"/>
      <c r="DG6" s="48" t="s">
        <v>449</v>
      </c>
      <c r="DH6" s="48" t="s">
        <v>459</v>
      </c>
      <c r="DI6" s="48"/>
      <c r="DJ6" s="48" t="s">
        <v>460</v>
      </c>
      <c r="DK6" s="48"/>
      <c r="DL6" s="48" t="s">
        <v>460</v>
      </c>
      <c r="DM6" s="48"/>
      <c r="DN6" s="48" t="s">
        <v>461</v>
      </c>
      <c r="DO6" s="48"/>
      <c r="DP6" s="48" t="s">
        <v>461</v>
      </c>
      <c r="DQ6" s="48"/>
      <c r="DR6" s="48" t="s">
        <v>462</v>
      </c>
      <c r="DS6" s="48"/>
      <c r="DT6" s="48" t="s">
        <v>463</v>
      </c>
      <c r="DU6" s="48"/>
      <c r="DV6" s="48" t="s">
        <v>463</v>
      </c>
      <c r="DW6" s="48"/>
      <c r="DX6" s="48" t="s">
        <v>464</v>
      </c>
      <c r="DY6" s="48"/>
      <c r="DZ6" s="48" t="s">
        <v>464</v>
      </c>
      <c r="EA6" s="48"/>
      <c r="EB6" s="103" t="s">
        <v>464</v>
      </c>
      <c r="EC6" s="48"/>
      <c r="ED6" s="48" t="s">
        <v>465</v>
      </c>
      <c r="EE6" s="48"/>
      <c r="EF6" s="48" t="s">
        <v>465</v>
      </c>
      <c r="EG6" s="48"/>
      <c r="EH6" s="48" t="s">
        <v>466</v>
      </c>
      <c r="EI6" s="52"/>
      <c r="EJ6" s="48" t="s">
        <v>466</v>
      </c>
      <c r="EK6" s="56"/>
      <c r="EL6" s="52" t="s">
        <v>467</v>
      </c>
      <c r="EM6" s="48"/>
      <c r="EN6" s="52" t="s">
        <v>468</v>
      </c>
      <c r="EO6" s="48"/>
      <c r="EP6" s="48" t="s">
        <v>468</v>
      </c>
      <c r="EQ6" s="48"/>
      <c r="ER6" s="48" t="s">
        <v>469</v>
      </c>
      <c r="ES6" s="48"/>
      <c r="ET6" s="71" t="s">
        <v>469</v>
      </c>
      <c r="EU6" s="142"/>
      <c r="EV6" s="134" t="s">
        <v>470</v>
      </c>
      <c r="EW6" s="211" t="s">
        <v>3852</v>
      </c>
      <c r="EX6" s="211" t="s">
        <v>3927</v>
      </c>
      <c r="EY6" s="211" t="s">
        <v>3989</v>
      </c>
      <c r="EZ6" s="211" t="s">
        <v>4051</v>
      </c>
      <c r="FA6" s="211" t="s">
        <v>4113</v>
      </c>
      <c r="FB6" s="211" t="s">
        <v>4177</v>
      </c>
      <c r="FC6" s="211" t="s">
        <v>4238</v>
      </c>
      <c r="FD6" s="211" t="s">
        <v>4299</v>
      </c>
      <c r="FE6" s="211" t="s">
        <v>4360</v>
      </c>
      <c r="FF6" s="181"/>
      <c r="FG6" s="134"/>
      <c r="FH6" s="134"/>
      <c r="FI6" s="134"/>
      <c r="FJ6" s="174"/>
      <c r="FK6" s="134"/>
      <c r="FL6" s="174"/>
      <c r="FM6" s="134"/>
      <c r="FN6" s="136"/>
      <c r="FO6" s="134"/>
      <c r="FP6" s="142"/>
      <c r="FQ6" s="136"/>
      <c r="FR6" s="134"/>
      <c r="FS6" s="136"/>
      <c r="FT6" s="136"/>
      <c r="FU6" s="136"/>
      <c r="FV6" s="160"/>
      <c r="FW6" s="136"/>
      <c r="FX6" s="160"/>
      <c r="FY6" s="56"/>
      <c r="FZ6" s="56"/>
      <c r="GA6" s="56"/>
      <c r="GB6" s="56"/>
    </row>
    <row r="7" spans="1:185" ht="12.75" customHeight="1" x14ac:dyDescent="0.2">
      <c r="A7" s="143" t="s">
        <v>289</v>
      </c>
      <c r="B7" s="189" t="s">
        <v>2820</v>
      </c>
      <c r="C7" s="189" t="s">
        <v>2894</v>
      </c>
      <c r="D7" s="211" t="s">
        <v>3152</v>
      </c>
      <c r="E7" s="70" t="s">
        <v>24</v>
      </c>
      <c r="F7" s="53" t="s">
        <v>472</v>
      </c>
      <c r="G7" s="53"/>
      <c r="H7" s="211" t="s">
        <v>3249</v>
      </c>
      <c r="I7" s="211" t="s">
        <v>3349</v>
      </c>
      <c r="J7" s="211" t="s">
        <v>3443</v>
      </c>
      <c r="K7" s="53"/>
      <c r="L7" s="189">
        <v>4</v>
      </c>
      <c r="M7" s="211" t="s">
        <v>3460</v>
      </c>
      <c r="N7" s="211" t="s">
        <v>3560</v>
      </c>
      <c r="O7" s="189" t="s">
        <v>292</v>
      </c>
      <c r="P7" s="189" t="s">
        <v>293</v>
      </c>
      <c r="Q7" s="211">
        <v>27006</v>
      </c>
      <c r="R7" s="189" t="s">
        <v>294</v>
      </c>
      <c r="S7" s="189" t="s">
        <v>2994</v>
      </c>
      <c r="T7" s="189" t="s">
        <v>3093</v>
      </c>
      <c r="U7" s="211">
        <v>13</v>
      </c>
      <c r="V7" s="211" t="s">
        <v>3653</v>
      </c>
      <c r="W7" s="211" t="s">
        <v>474</v>
      </c>
      <c r="X7" s="53"/>
      <c r="Y7" s="211">
        <v>1</v>
      </c>
      <c r="Z7" s="53" t="s">
        <v>298</v>
      </c>
      <c r="AA7" s="189" t="s">
        <v>3142</v>
      </c>
      <c r="AB7" s="189" t="s">
        <v>410</v>
      </c>
      <c r="AC7" s="211" t="s">
        <v>3753</v>
      </c>
      <c r="AD7" s="161" t="b">
        <v>1</v>
      </c>
      <c r="AE7" s="48"/>
      <c r="AF7" s="53" t="s">
        <v>475</v>
      </c>
      <c r="AG7" s="48"/>
      <c r="AH7" s="53" t="s">
        <v>476</v>
      </c>
      <c r="AI7" s="48"/>
      <c r="AJ7" s="53" t="s">
        <v>476</v>
      </c>
      <c r="AK7" s="48"/>
      <c r="AL7" s="48" t="s">
        <v>477</v>
      </c>
      <c r="AM7" s="48"/>
      <c r="AN7" s="48" t="s">
        <v>477</v>
      </c>
      <c r="AO7" s="48"/>
      <c r="AP7" s="48" t="s">
        <v>478</v>
      </c>
      <c r="AQ7" s="48"/>
      <c r="AR7" s="48" t="s">
        <v>479</v>
      </c>
      <c r="AS7" s="48"/>
      <c r="AT7" s="48" t="s">
        <v>479</v>
      </c>
      <c r="AU7" s="48"/>
      <c r="AV7" s="48" t="s">
        <v>480</v>
      </c>
      <c r="AW7" s="48"/>
      <c r="AX7" s="48" t="s">
        <v>480</v>
      </c>
      <c r="AY7" s="48"/>
      <c r="AZ7" s="48" t="s">
        <v>481</v>
      </c>
      <c r="BA7" s="48" t="s">
        <v>482</v>
      </c>
      <c r="BB7" s="48"/>
      <c r="BC7" s="48"/>
      <c r="BD7" s="48" t="s">
        <v>481</v>
      </c>
      <c r="BE7" s="48"/>
      <c r="BF7" s="48" t="s">
        <v>483</v>
      </c>
      <c r="BG7" s="48"/>
      <c r="BH7" s="48" t="s">
        <v>483</v>
      </c>
      <c r="BI7" s="48"/>
      <c r="BJ7" s="48" t="s">
        <v>484</v>
      </c>
      <c r="BK7" s="48"/>
      <c r="BL7" s="48" t="s">
        <v>485</v>
      </c>
      <c r="BM7" s="48"/>
      <c r="BN7" s="48" t="s">
        <v>485</v>
      </c>
      <c r="BO7" s="48"/>
      <c r="BP7" s="48" t="s">
        <v>486</v>
      </c>
      <c r="BQ7" s="48"/>
      <c r="BR7" s="53"/>
      <c r="BS7" s="53" t="s">
        <v>487</v>
      </c>
      <c r="BT7" s="48"/>
      <c r="BU7" s="48" t="s">
        <v>488</v>
      </c>
      <c r="BV7" s="48"/>
      <c r="BW7" s="48" t="s">
        <v>488</v>
      </c>
      <c r="BX7" s="48"/>
      <c r="BY7" s="48" t="s">
        <v>489</v>
      </c>
      <c r="BZ7" s="48"/>
      <c r="CA7" s="48" t="s">
        <v>489</v>
      </c>
      <c r="CB7" s="48"/>
      <c r="CC7" s="48" t="s">
        <v>451</v>
      </c>
      <c r="CD7" s="48"/>
      <c r="CE7" s="48" t="s">
        <v>451</v>
      </c>
      <c r="CF7" s="48"/>
      <c r="CG7" s="48" t="s">
        <v>490</v>
      </c>
      <c r="CH7" s="48"/>
      <c r="CI7" s="48" t="s">
        <v>490</v>
      </c>
      <c r="CJ7" s="48"/>
      <c r="CK7" s="48" t="s">
        <v>491</v>
      </c>
      <c r="CL7" s="48"/>
      <c r="CM7" s="48" t="s">
        <v>491</v>
      </c>
      <c r="CN7" s="48"/>
      <c r="CO7" s="13" t="s">
        <v>492</v>
      </c>
      <c r="CP7" s="48"/>
      <c r="CQ7" s="13" t="s">
        <v>492</v>
      </c>
      <c r="CR7" s="13"/>
      <c r="CS7" s="48" t="s">
        <v>455</v>
      </c>
      <c r="CT7" s="48"/>
      <c r="CU7" s="48" t="s">
        <v>455</v>
      </c>
      <c r="CV7" s="48"/>
      <c r="CW7" s="48" t="s">
        <v>456</v>
      </c>
      <c r="CX7" s="48"/>
      <c r="CY7" s="48" t="s">
        <v>456</v>
      </c>
      <c r="CZ7" s="48"/>
      <c r="DA7" s="48" t="s">
        <v>493</v>
      </c>
      <c r="DB7" s="48"/>
      <c r="DC7" s="48" t="s">
        <v>493</v>
      </c>
      <c r="DD7" s="48"/>
      <c r="DE7" s="48" t="s">
        <v>494</v>
      </c>
      <c r="DF7" s="48"/>
      <c r="DG7" s="53" t="s">
        <v>487</v>
      </c>
      <c r="DH7" s="48" t="s">
        <v>494</v>
      </c>
      <c r="DI7" s="48"/>
      <c r="DJ7" s="48" t="s">
        <v>495</v>
      </c>
      <c r="DK7" s="48"/>
      <c r="DL7" s="48" t="s">
        <v>495</v>
      </c>
      <c r="DM7" s="48"/>
      <c r="DN7" s="48" t="s">
        <v>496</v>
      </c>
      <c r="DO7" s="48"/>
      <c r="DP7" s="48" t="s">
        <v>496</v>
      </c>
      <c r="DQ7" s="48"/>
      <c r="DR7" s="48" t="s">
        <v>497</v>
      </c>
      <c r="DS7" s="48"/>
      <c r="DT7" s="48" t="s">
        <v>498</v>
      </c>
      <c r="DU7" s="48"/>
      <c r="DV7" s="48" t="s">
        <v>499</v>
      </c>
      <c r="DW7" s="48"/>
      <c r="DX7" s="48" t="s">
        <v>499</v>
      </c>
      <c r="DY7" s="48"/>
      <c r="DZ7" s="48" t="s">
        <v>500</v>
      </c>
      <c r="EA7" s="48"/>
      <c r="EB7" s="80" t="s">
        <v>500</v>
      </c>
      <c r="EC7" s="48"/>
      <c r="ED7" s="48" t="s">
        <v>501</v>
      </c>
      <c r="EE7" s="48"/>
      <c r="EF7" s="48" t="s">
        <v>502</v>
      </c>
      <c r="EG7" s="48"/>
      <c r="EH7" s="48" t="s">
        <v>502</v>
      </c>
      <c r="EI7" s="52"/>
      <c r="EJ7" s="48" t="s">
        <v>503</v>
      </c>
      <c r="EK7" s="56"/>
      <c r="EL7" s="52" t="s">
        <v>371</v>
      </c>
      <c r="EM7" s="48"/>
      <c r="EN7" s="52" t="s">
        <v>371</v>
      </c>
      <c r="EO7" s="48"/>
      <c r="EP7" s="48" t="s">
        <v>504</v>
      </c>
      <c r="EQ7" s="48"/>
      <c r="ER7" s="48" t="s">
        <v>504</v>
      </c>
      <c r="ES7" s="48"/>
      <c r="ET7" s="71" t="s">
        <v>505</v>
      </c>
      <c r="EU7" s="134"/>
      <c r="EV7" s="80" t="s">
        <v>505</v>
      </c>
      <c r="EW7" s="211" t="s">
        <v>3853</v>
      </c>
      <c r="EX7" s="211" t="s">
        <v>3928</v>
      </c>
      <c r="EY7" s="211" t="s">
        <v>3990</v>
      </c>
      <c r="EZ7" s="211" t="s">
        <v>4052</v>
      </c>
      <c r="FA7" s="211" t="s">
        <v>4114</v>
      </c>
      <c r="FB7" s="211" t="s">
        <v>4178</v>
      </c>
      <c r="FC7" s="211" t="s">
        <v>4239</v>
      </c>
      <c r="FD7" s="211" t="s">
        <v>4300</v>
      </c>
      <c r="FE7" s="211" t="s">
        <v>4361</v>
      </c>
      <c r="FF7" s="134"/>
      <c r="FG7" s="151"/>
      <c r="FH7" s="135"/>
      <c r="FI7" s="134"/>
      <c r="FJ7" s="160"/>
      <c r="FK7" s="134"/>
      <c r="FL7" s="136"/>
      <c r="FM7" s="134"/>
      <c r="FN7" s="136"/>
      <c r="FO7" s="134"/>
      <c r="FP7" s="142"/>
      <c r="FQ7" s="136"/>
      <c r="FR7" s="134"/>
      <c r="FS7" s="136"/>
      <c r="FT7" s="136"/>
      <c r="FU7" s="136"/>
      <c r="FV7" s="160"/>
      <c r="FW7" s="160"/>
      <c r="FX7" s="160"/>
      <c r="FY7" s="56"/>
      <c r="FZ7" s="56"/>
      <c r="GA7" s="56"/>
      <c r="GB7" s="56"/>
    </row>
    <row r="8" spans="1:185" ht="12.75" customHeight="1" x14ac:dyDescent="0.2">
      <c r="A8" s="96" t="s">
        <v>289</v>
      </c>
      <c r="B8" s="189" t="s">
        <v>2821</v>
      </c>
      <c r="C8" s="189" t="s">
        <v>2895</v>
      </c>
      <c r="D8" s="211" t="s">
        <v>3153</v>
      </c>
      <c r="E8" s="53" t="s">
        <v>472</v>
      </c>
      <c r="F8" s="48" t="s">
        <v>24</v>
      </c>
      <c r="G8" s="48"/>
      <c r="H8" s="211" t="s">
        <v>3250</v>
      </c>
      <c r="I8" s="211" t="s">
        <v>3350</v>
      </c>
      <c r="J8" s="211" t="s">
        <v>24</v>
      </c>
      <c r="K8" s="53"/>
      <c r="L8" s="189">
        <v>4</v>
      </c>
      <c r="M8" s="211" t="s">
        <v>3461</v>
      </c>
      <c r="N8" s="211" t="s">
        <v>3561</v>
      </c>
      <c r="O8" s="189" t="s">
        <v>292</v>
      </c>
      <c r="P8" s="189" t="s">
        <v>293</v>
      </c>
      <c r="Q8" s="211">
        <v>27007</v>
      </c>
      <c r="R8" s="189" t="s">
        <v>294</v>
      </c>
      <c r="S8" s="189" t="s">
        <v>2995</v>
      </c>
      <c r="T8" s="189" t="s">
        <v>3094</v>
      </c>
      <c r="U8" s="211">
        <v>15</v>
      </c>
      <c r="V8" s="211" t="s">
        <v>3653</v>
      </c>
      <c r="W8" s="211" t="s">
        <v>506</v>
      </c>
      <c r="X8" s="53"/>
      <c r="Y8" s="211">
        <v>1</v>
      </c>
      <c r="Z8" s="89" t="s">
        <v>298</v>
      </c>
      <c r="AA8" s="189" t="s">
        <v>299</v>
      </c>
      <c r="AB8" s="189" t="s">
        <v>3145</v>
      </c>
      <c r="AC8" s="211" t="s">
        <v>3754</v>
      </c>
      <c r="AD8" s="163" t="b">
        <v>0</v>
      </c>
      <c r="AE8" s="53"/>
      <c r="AF8" s="48"/>
      <c r="AG8" s="48"/>
      <c r="AH8" s="48"/>
      <c r="AI8" s="48"/>
      <c r="AJ8" s="48"/>
      <c r="AK8" s="48"/>
      <c r="AL8" s="48"/>
      <c r="AM8" s="48"/>
      <c r="AN8" s="48" t="s">
        <v>507</v>
      </c>
      <c r="AO8" s="48"/>
      <c r="AP8" s="48" t="s">
        <v>508</v>
      </c>
      <c r="AQ8" s="48"/>
      <c r="AR8" s="48" t="s">
        <v>508</v>
      </c>
      <c r="AS8" s="48"/>
      <c r="AT8" s="48" t="s">
        <v>509</v>
      </c>
      <c r="AU8" s="48"/>
      <c r="AV8" s="48" t="s">
        <v>509</v>
      </c>
      <c r="AW8" s="48"/>
      <c r="AX8" s="48" t="s">
        <v>510</v>
      </c>
      <c r="AY8" s="48"/>
      <c r="AZ8" s="48" t="s">
        <v>510</v>
      </c>
      <c r="BA8" s="48"/>
      <c r="BB8" s="48"/>
      <c r="BC8" s="48"/>
      <c r="BD8" s="48" t="s">
        <v>511</v>
      </c>
      <c r="BE8" s="48"/>
      <c r="BF8" s="48" t="s">
        <v>511</v>
      </c>
      <c r="BG8" s="48"/>
      <c r="BH8" s="48" t="s">
        <v>512</v>
      </c>
      <c r="BI8" s="48"/>
      <c r="BJ8" s="48" t="s">
        <v>512</v>
      </c>
      <c r="BK8" s="48"/>
      <c r="BL8" s="48" t="s">
        <v>513</v>
      </c>
      <c r="BM8" s="48"/>
      <c r="BN8" s="48" t="s">
        <v>513</v>
      </c>
      <c r="BO8" s="48"/>
      <c r="BP8" s="48" t="s">
        <v>514</v>
      </c>
      <c r="BQ8" s="48"/>
      <c r="BR8" s="48"/>
      <c r="BS8" s="48" t="s">
        <v>515</v>
      </c>
      <c r="BT8" s="48"/>
      <c r="BU8" s="48" t="s">
        <v>516</v>
      </c>
      <c r="BV8" s="48" t="s">
        <v>517</v>
      </c>
      <c r="BW8" s="48" t="s">
        <v>516</v>
      </c>
      <c r="BX8" s="48"/>
      <c r="BY8" s="48" t="s">
        <v>518</v>
      </c>
      <c r="BZ8" s="48"/>
      <c r="CA8" s="48" t="s">
        <v>518</v>
      </c>
      <c r="CB8" s="48"/>
      <c r="CC8" s="48" t="s">
        <v>519</v>
      </c>
      <c r="CD8" s="48"/>
      <c r="CE8" s="48" t="s">
        <v>519</v>
      </c>
      <c r="CF8" s="48"/>
      <c r="CG8" s="48" t="s">
        <v>520</v>
      </c>
      <c r="CH8" s="48"/>
      <c r="CI8" s="48" t="s">
        <v>520</v>
      </c>
      <c r="CJ8" s="48"/>
      <c r="CK8" s="48" t="s">
        <v>521</v>
      </c>
      <c r="CL8" s="48"/>
      <c r="CM8" s="48" t="s">
        <v>522</v>
      </c>
      <c r="CN8" s="48"/>
      <c r="CO8" s="48" t="s">
        <v>523</v>
      </c>
      <c r="CP8" s="48"/>
      <c r="CQ8" s="13" t="s">
        <v>523</v>
      </c>
      <c r="CR8" s="13"/>
      <c r="CS8" s="48" t="s">
        <v>524</v>
      </c>
      <c r="CT8" s="48"/>
      <c r="CU8" s="48" t="s">
        <v>524</v>
      </c>
      <c r="CV8" s="48"/>
      <c r="CW8" s="48" t="s">
        <v>319</v>
      </c>
      <c r="CX8" s="48"/>
      <c r="CY8" s="48" t="s">
        <v>319</v>
      </c>
      <c r="CZ8" s="48"/>
      <c r="DA8" s="48" t="s">
        <v>320</v>
      </c>
      <c r="DB8" s="48"/>
      <c r="DC8" s="48" t="s">
        <v>320</v>
      </c>
      <c r="DD8" s="48"/>
      <c r="DE8" s="48" t="s">
        <v>525</v>
      </c>
      <c r="DF8" s="48"/>
      <c r="DG8" s="48" t="s">
        <v>515</v>
      </c>
      <c r="DH8" s="48" t="s">
        <v>526</v>
      </c>
      <c r="DI8" s="48"/>
      <c r="DJ8" s="48" t="s">
        <v>527</v>
      </c>
      <c r="DK8" s="48"/>
      <c r="DL8" s="48" t="s">
        <v>527</v>
      </c>
      <c r="DM8" s="48"/>
      <c r="DN8" s="48" t="s">
        <v>431</v>
      </c>
      <c r="DO8" s="48"/>
      <c r="DP8" s="48" t="s">
        <v>431</v>
      </c>
      <c r="DQ8" s="48"/>
      <c r="DR8" s="48" t="s">
        <v>528</v>
      </c>
      <c r="DS8" s="48"/>
      <c r="DT8" s="48" t="s">
        <v>529</v>
      </c>
      <c r="DU8" s="48"/>
      <c r="DV8" s="48" t="s">
        <v>529</v>
      </c>
      <c r="DW8" s="48"/>
      <c r="DX8" s="48" t="s">
        <v>530</v>
      </c>
      <c r="DY8" s="48"/>
      <c r="DZ8" s="48" t="s">
        <v>530</v>
      </c>
      <c r="EA8" s="48"/>
      <c r="EB8" s="80" t="s">
        <v>530</v>
      </c>
      <c r="EC8" s="48"/>
      <c r="ED8" s="48" t="s">
        <v>402</v>
      </c>
      <c r="EE8" s="48"/>
      <c r="EF8" s="48" t="s">
        <v>402</v>
      </c>
      <c r="EG8" s="56"/>
      <c r="EH8" s="56" t="s">
        <v>370</v>
      </c>
      <c r="EI8" s="52"/>
      <c r="EJ8" s="48" t="s">
        <v>370</v>
      </c>
      <c r="EK8" s="56"/>
      <c r="EL8" s="52" t="s">
        <v>531</v>
      </c>
      <c r="EM8" s="48"/>
      <c r="EN8" s="52" t="s">
        <v>531</v>
      </c>
      <c r="EO8" s="48"/>
      <c r="EP8" s="48" t="s">
        <v>532</v>
      </c>
      <c r="EQ8" s="48"/>
      <c r="ER8" s="48" t="s">
        <v>331</v>
      </c>
      <c r="ES8" s="48"/>
      <c r="ET8" s="71" t="s">
        <v>533</v>
      </c>
      <c r="EU8" s="134"/>
      <c r="EV8" s="80" t="s">
        <v>533</v>
      </c>
      <c r="EW8" s="211" t="s">
        <v>406</v>
      </c>
      <c r="EX8" s="211" t="s">
        <v>3929</v>
      </c>
      <c r="EY8" s="211" t="s">
        <v>3991</v>
      </c>
      <c r="EZ8" s="211" t="s">
        <v>4053</v>
      </c>
      <c r="FA8" s="211" t="s">
        <v>4115</v>
      </c>
      <c r="FB8" s="211" t="s">
        <v>4179</v>
      </c>
      <c r="FC8" s="211" t="s">
        <v>4240</v>
      </c>
      <c r="FD8" s="211" t="s">
        <v>4301</v>
      </c>
      <c r="FE8" s="211" t="s">
        <v>4362</v>
      </c>
      <c r="FF8" s="134"/>
      <c r="FG8" s="151"/>
      <c r="FH8" s="134"/>
      <c r="FI8" s="134"/>
      <c r="FJ8" s="136"/>
      <c r="FK8" s="134"/>
      <c r="FL8" s="136"/>
      <c r="FM8" s="134"/>
      <c r="FN8" s="136"/>
      <c r="FO8" s="134"/>
      <c r="FP8" s="142"/>
      <c r="FQ8" s="136"/>
      <c r="FR8" s="135"/>
      <c r="FS8" s="134"/>
      <c r="FT8" s="160"/>
      <c r="FU8" s="136"/>
      <c r="FV8" s="160"/>
      <c r="FW8" s="136"/>
      <c r="FX8" s="160"/>
      <c r="FY8" s="56"/>
      <c r="FZ8" s="56"/>
      <c r="GA8" s="56"/>
      <c r="GB8" s="56"/>
    </row>
    <row r="9" spans="1:185" ht="12.75" customHeight="1" x14ac:dyDescent="0.2">
      <c r="A9" s="68" t="s">
        <v>289</v>
      </c>
      <c r="B9" s="189" t="s">
        <v>2822</v>
      </c>
      <c r="C9" s="189" t="s">
        <v>2896</v>
      </c>
      <c r="D9" s="211" t="s">
        <v>3154</v>
      </c>
      <c r="E9" s="53" t="s">
        <v>24</v>
      </c>
      <c r="F9" s="53" t="s">
        <v>407</v>
      </c>
      <c r="G9" s="53"/>
      <c r="H9" s="211" t="s">
        <v>3251</v>
      </c>
      <c r="I9" s="211" t="s">
        <v>3351</v>
      </c>
      <c r="J9" s="211" t="s">
        <v>870</v>
      </c>
      <c r="K9" s="53"/>
      <c r="L9" s="189">
        <v>1</v>
      </c>
      <c r="M9" s="211" t="s">
        <v>3462</v>
      </c>
      <c r="N9" s="211" t="s">
        <v>3562</v>
      </c>
      <c r="O9" s="189" t="s">
        <v>292</v>
      </c>
      <c r="P9" s="189" t="s">
        <v>293</v>
      </c>
      <c r="Q9" s="211">
        <v>27008</v>
      </c>
      <c r="R9" s="189" t="s">
        <v>294</v>
      </c>
      <c r="S9" s="189" t="s">
        <v>2996</v>
      </c>
      <c r="T9" s="189" t="s">
        <v>3095</v>
      </c>
      <c r="U9" s="211">
        <v>14</v>
      </c>
      <c r="V9" s="211" t="s">
        <v>3653</v>
      </c>
      <c r="W9" s="211" t="s">
        <v>3747</v>
      </c>
      <c r="X9" s="54"/>
      <c r="Y9" s="211">
        <v>1</v>
      </c>
      <c r="Z9" s="53" t="s">
        <v>535</v>
      </c>
      <c r="AA9" s="189" t="s">
        <v>3143</v>
      </c>
      <c r="AB9" s="189" t="s">
        <v>336</v>
      </c>
      <c r="AC9" s="211" t="s">
        <v>3755</v>
      </c>
      <c r="AD9" s="161" t="b">
        <v>0</v>
      </c>
      <c r="AE9" s="53"/>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t="s">
        <v>536</v>
      </c>
      <c r="BI9" s="48"/>
      <c r="BJ9" s="48" t="s">
        <v>537</v>
      </c>
      <c r="BK9" s="48"/>
      <c r="BL9" s="48" t="s">
        <v>537</v>
      </c>
      <c r="BM9" s="48"/>
      <c r="BN9" s="53" t="s">
        <v>538</v>
      </c>
      <c r="BO9" s="48"/>
      <c r="BP9" s="53" t="s">
        <v>538</v>
      </c>
      <c r="BQ9" s="48"/>
      <c r="BR9" s="48"/>
      <c r="BS9" s="48" t="s">
        <v>539</v>
      </c>
      <c r="BT9" s="48"/>
      <c r="BU9" s="48" t="s">
        <v>540</v>
      </c>
      <c r="BV9" s="48"/>
      <c r="BW9" s="48" t="s">
        <v>540</v>
      </c>
      <c r="BX9" s="48"/>
      <c r="BY9" s="48" t="s">
        <v>387</v>
      </c>
      <c r="BZ9" s="48"/>
      <c r="CA9" s="48" t="s">
        <v>387</v>
      </c>
      <c r="CB9" s="48"/>
      <c r="CC9" s="48" t="s">
        <v>541</v>
      </c>
      <c r="CD9" s="48"/>
      <c r="CE9" s="48" t="s">
        <v>541</v>
      </c>
      <c r="CF9" s="48"/>
      <c r="CG9" s="48" t="s">
        <v>392</v>
      </c>
      <c r="CH9" s="48"/>
      <c r="CI9" s="48" t="s">
        <v>542</v>
      </c>
      <c r="CJ9" s="48"/>
      <c r="CK9" s="48" t="s">
        <v>542</v>
      </c>
      <c r="CL9" s="48"/>
      <c r="CM9" s="48" t="s">
        <v>543</v>
      </c>
      <c r="CN9" s="48"/>
      <c r="CO9" s="48"/>
      <c r="CP9" s="48"/>
      <c r="CQ9" s="48" t="s">
        <v>544</v>
      </c>
      <c r="CR9" s="48"/>
      <c r="CS9" s="48" t="s">
        <v>545</v>
      </c>
      <c r="CT9" s="48"/>
      <c r="CU9" s="48" t="s">
        <v>545</v>
      </c>
      <c r="CV9" s="48"/>
      <c r="CW9" s="48" t="s">
        <v>546</v>
      </c>
      <c r="CX9" s="48"/>
      <c r="CY9" s="48" t="s">
        <v>546</v>
      </c>
      <c r="CZ9" s="48"/>
      <c r="DA9" s="48" t="s">
        <v>547</v>
      </c>
      <c r="DB9" s="48"/>
      <c r="DC9" s="48" t="s">
        <v>547</v>
      </c>
      <c r="DD9" s="48"/>
      <c r="DE9" s="48" t="s">
        <v>494</v>
      </c>
      <c r="DF9" s="48"/>
      <c r="DG9" s="48" t="s">
        <v>539</v>
      </c>
      <c r="DH9" s="48" t="s">
        <v>494</v>
      </c>
      <c r="DI9" s="48"/>
      <c r="DJ9" s="48" t="s">
        <v>460</v>
      </c>
      <c r="DK9" s="48"/>
      <c r="DL9" s="48" t="s">
        <v>460</v>
      </c>
      <c r="DM9" s="48"/>
      <c r="DN9" s="48" t="s">
        <v>548</v>
      </c>
      <c r="DO9" s="48"/>
      <c r="DP9" s="48" t="s">
        <v>548</v>
      </c>
      <c r="DQ9" s="48"/>
      <c r="DR9" s="48" t="s">
        <v>462</v>
      </c>
      <c r="DS9" s="48"/>
      <c r="DT9" s="48" t="s">
        <v>549</v>
      </c>
      <c r="DU9" s="48"/>
      <c r="DV9" s="48" t="s">
        <v>549</v>
      </c>
      <c r="DW9" s="48"/>
      <c r="DX9" s="48" t="s">
        <v>464</v>
      </c>
      <c r="DY9" s="48"/>
      <c r="DZ9" s="48" t="s">
        <v>464</v>
      </c>
      <c r="EA9" s="48"/>
      <c r="EB9" s="80" t="s">
        <v>464</v>
      </c>
      <c r="EC9" s="48"/>
      <c r="ED9" s="48" t="s">
        <v>550</v>
      </c>
      <c r="EE9" s="48"/>
      <c r="EF9" s="48" t="s">
        <v>550</v>
      </c>
      <c r="EG9" s="48"/>
      <c r="EH9" s="48" t="s">
        <v>551</v>
      </c>
      <c r="EI9" s="52"/>
      <c r="EJ9" s="48" t="s">
        <v>551</v>
      </c>
      <c r="EK9" s="56"/>
      <c r="EL9" s="52" t="s">
        <v>531</v>
      </c>
      <c r="EM9" s="48"/>
      <c r="EN9" s="52" t="s">
        <v>531</v>
      </c>
      <c r="EO9" s="48"/>
      <c r="EP9" s="48" t="s">
        <v>532</v>
      </c>
      <c r="EQ9" s="48"/>
      <c r="ER9" s="48" t="s">
        <v>552</v>
      </c>
      <c r="ES9" s="48"/>
      <c r="ET9" s="71" t="s">
        <v>533</v>
      </c>
      <c r="EU9" s="134"/>
      <c r="EV9" s="80" t="s">
        <v>533</v>
      </c>
      <c r="EW9" s="211" t="s">
        <v>3854</v>
      </c>
      <c r="EX9" s="211" t="s">
        <v>3930</v>
      </c>
      <c r="EY9" s="211" t="s">
        <v>3992</v>
      </c>
      <c r="EZ9" s="211" t="s">
        <v>4054</v>
      </c>
      <c r="FA9" s="211" t="s">
        <v>4116</v>
      </c>
      <c r="FB9" s="211" t="s">
        <v>4180</v>
      </c>
      <c r="FC9" s="211" t="s">
        <v>4241</v>
      </c>
      <c r="FD9" s="211" t="s">
        <v>4302</v>
      </c>
      <c r="FE9" s="211" t="s">
        <v>4363</v>
      </c>
      <c r="FF9" s="151"/>
      <c r="FG9" s="151"/>
      <c r="FH9" s="134"/>
      <c r="FI9" s="134"/>
      <c r="FJ9" s="136"/>
      <c r="FK9" s="134"/>
      <c r="FL9" s="136"/>
      <c r="FM9" s="134"/>
      <c r="FN9" s="136"/>
      <c r="FO9" s="134"/>
      <c r="FP9" s="142"/>
      <c r="FQ9" s="136"/>
      <c r="FR9" s="134"/>
      <c r="FS9" s="136"/>
      <c r="FT9" s="136"/>
      <c r="FU9" s="136"/>
      <c r="FV9" s="160"/>
      <c r="FW9" s="136"/>
      <c r="FX9" s="160"/>
      <c r="FY9" s="56"/>
      <c r="FZ9" s="56"/>
      <c r="GA9" s="56"/>
      <c r="GB9" s="56"/>
    </row>
    <row r="10" spans="1:185" ht="12.75" customHeight="1" x14ac:dyDescent="0.2">
      <c r="A10" s="143" t="s">
        <v>289</v>
      </c>
      <c r="B10" s="189" t="s">
        <v>2823</v>
      </c>
      <c r="C10" s="189" t="s">
        <v>2897</v>
      </c>
      <c r="D10" s="211" t="s">
        <v>3155</v>
      </c>
      <c r="E10" s="53" t="s">
        <v>24</v>
      </c>
      <c r="F10" s="53" t="s">
        <v>407</v>
      </c>
      <c r="G10" s="53"/>
      <c r="H10" s="211" t="s">
        <v>3252</v>
      </c>
      <c r="I10" s="211" t="s">
        <v>3352</v>
      </c>
      <c r="J10" s="211" t="s">
        <v>472</v>
      </c>
      <c r="K10" s="53"/>
      <c r="L10" s="189">
        <v>2</v>
      </c>
      <c r="M10" s="211" t="s">
        <v>3463</v>
      </c>
      <c r="N10" s="211" t="s">
        <v>3563</v>
      </c>
      <c r="O10" s="189" t="s">
        <v>292</v>
      </c>
      <c r="P10" s="189" t="s">
        <v>293</v>
      </c>
      <c r="Q10" s="211">
        <v>27009</v>
      </c>
      <c r="R10" s="189" t="s">
        <v>294</v>
      </c>
      <c r="S10" s="189" t="s">
        <v>2997</v>
      </c>
      <c r="T10" s="189" t="s">
        <v>3093</v>
      </c>
      <c r="U10" s="211">
        <v>19</v>
      </c>
      <c r="V10" s="211" t="s">
        <v>3653</v>
      </c>
      <c r="W10" s="211" t="s">
        <v>555</v>
      </c>
      <c r="X10" s="54"/>
      <c r="Y10" s="211">
        <v>1</v>
      </c>
      <c r="Z10" s="53" t="s">
        <v>556</v>
      </c>
      <c r="AA10" s="189" t="s">
        <v>299</v>
      </c>
      <c r="AB10" s="189" t="s">
        <v>3146</v>
      </c>
      <c r="AC10" s="211" t="s">
        <v>3756</v>
      </c>
      <c r="AD10" s="161" t="b">
        <v>0</v>
      </c>
      <c r="AE10" s="48"/>
      <c r="AF10" s="53" t="s">
        <v>557</v>
      </c>
      <c r="AG10" s="48"/>
      <c r="AH10" s="53" t="s">
        <v>557</v>
      </c>
      <c r="AI10" s="48"/>
      <c r="AJ10" s="53" t="s">
        <v>558</v>
      </c>
      <c r="AK10" s="48"/>
      <c r="AL10" s="53" t="s">
        <v>558</v>
      </c>
      <c r="AM10" s="48"/>
      <c r="AN10" s="48" t="s">
        <v>559</v>
      </c>
      <c r="AO10" s="48"/>
      <c r="AP10" s="48" t="s">
        <v>441</v>
      </c>
      <c r="AQ10" s="48"/>
      <c r="AR10" s="48" t="s">
        <v>560</v>
      </c>
      <c r="AS10" s="48"/>
      <c r="AT10" s="48" t="s">
        <v>561</v>
      </c>
      <c r="AU10" s="48"/>
      <c r="AV10" s="48" t="s">
        <v>304</v>
      </c>
      <c r="AW10" s="48"/>
      <c r="AX10" s="48" t="s">
        <v>562</v>
      </c>
      <c r="AY10" s="48"/>
      <c r="AZ10" s="48" t="s">
        <v>563</v>
      </c>
      <c r="BA10" s="48"/>
      <c r="BB10" s="48"/>
      <c r="BC10" s="48"/>
      <c r="BD10" s="48" t="s">
        <v>564</v>
      </c>
      <c r="BE10" s="48"/>
      <c r="BF10" s="48" t="s">
        <v>564</v>
      </c>
      <c r="BG10" s="48"/>
      <c r="BH10" s="48" t="s">
        <v>565</v>
      </c>
      <c r="BI10" s="48"/>
      <c r="BJ10" s="48" t="s">
        <v>391</v>
      </c>
      <c r="BK10" s="48"/>
      <c r="BL10" s="48" t="s">
        <v>566</v>
      </c>
      <c r="BM10" s="48"/>
      <c r="BN10" s="53" t="s">
        <v>567</v>
      </c>
      <c r="BO10" s="48"/>
      <c r="BP10" s="53" t="s">
        <v>568</v>
      </c>
      <c r="BQ10" s="48"/>
      <c r="BR10" s="48"/>
      <c r="BS10" s="81" t="s">
        <v>386</v>
      </c>
      <c r="BT10" s="48"/>
      <c r="BU10" s="48" t="s">
        <v>387</v>
      </c>
      <c r="BV10" s="48"/>
      <c r="BW10" s="48" t="s">
        <v>387</v>
      </c>
      <c r="BX10" s="48"/>
      <c r="BY10" s="48" t="s">
        <v>388</v>
      </c>
      <c r="BZ10" s="48"/>
      <c r="CA10" s="48" t="s">
        <v>569</v>
      </c>
      <c r="CB10" s="48"/>
      <c r="CC10" s="48" t="s">
        <v>570</v>
      </c>
      <c r="CD10" s="48"/>
      <c r="CE10" s="48" t="s">
        <v>424</v>
      </c>
      <c r="CF10" s="48" t="s">
        <v>571</v>
      </c>
      <c r="CG10" s="48" t="s">
        <v>571</v>
      </c>
      <c r="CH10" s="48" t="s">
        <v>572</v>
      </c>
      <c r="CI10" s="48"/>
      <c r="CJ10" s="48" t="s">
        <v>573</v>
      </c>
      <c r="CK10" s="48"/>
      <c r="CL10" s="48" t="s">
        <v>574</v>
      </c>
      <c r="CM10" s="48"/>
      <c r="CN10" s="48" t="s">
        <v>574</v>
      </c>
      <c r="CO10" s="48"/>
      <c r="CP10" s="48"/>
      <c r="CQ10" s="48" t="s">
        <v>575</v>
      </c>
      <c r="CR10" s="103"/>
      <c r="CS10" s="48" t="s">
        <v>576</v>
      </c>
      <c r="CT10" s="48"/>
      <c r="CU10" s="48" t="s">
        <v>577</v>
      </c>
      <c r="CV10" s="48"/>
      <c r="CW10" s="48" t="s">
        <v>577</v>
      </c>
      <c r="CX10" s="48"/>
      <c r="CY10" s="48" t="s">
        <v>427</v>
      </c>
      <c r="CZ10" s="48"/>
      <c r="DA10" s="48" t="s">
        <v>427</v>
      </c>
      <c r="DB10" s="48"/>
      <c r="DC10" s="48" t="s">
        <v>578</v>
      </c>
      <c r="DD10" s="48"/>
      <c r="DE10" s="48" t="s">
        <v>578</v>
      </c>
      <c r="DF10" s="48"/>
      <c r="DG10" s="53" t="s">
        <v>568</v>
      </c>
      <c r="DH10" s="48" t="s">
        <v>579</v>
      </c>
      <c r="DI10" s="48"/>
      <c r="DJ10" s="48" t="s">
        <v>579</v>
      </c>
      <c r="DK10" s="48"/>
      <c r="DL10" s="48" t="s">
        <v>580</v>
      </c>
      <c r="DM10" s="48"/>
      <c r="DN10" s="48" t="s">
        <v>580</v>
      </c>
      <c r="DO10" s="48"/>
      <c r="DP10" s="48" t="s">
        <v>364</v>
      </c>
      <c r="DQ10" s="48"/>
      <c r="DR10" s="48" t="s">
        <v>364</v>
      </c>
      <c r="DS10" s="48"/>
      <c r="DT10" s="13" t="s">
        <v>581</v>
      </c>
      <c r="DU10" s="48"/>
      <c r="DV10" s="48" t="s">
        <v>434</v>
      </c>
      <c r="DW10" s="48"/>
      <c r="DX10" s="48" t="s">
        <v>434</v>
      </c>
      <c r="DY10" s="48"/>
      <c r="DZ10" s="48" t="s">
        <v>582</v>
      </c>
      <c r="EA10" s="48"/>
      <c r="EB10" s="80" t="s">
        <v>582</v>
      </c>
      <c r="EC10" s="48"/>
      <c r="ED10" s="48" t="s">
        <v>583</v>
      </c>
      <c r="EE10" s="48"/>
      <c r="EF10" s="48" t="s">
        <v>583</v>
      </c>
      <c r="EG10" s="48"/>
      <c r="EH10" s="48" t="s">
        <v>584</v>
      </c>
      <c r="EI10" s="52"/>
      <c r="EJ10" s="48" t="s">
        <v>584</v>
      </c>
      <c r="EK10" s="56"/>
      <c r="EL10" s="52" t="s">
        <v>585</v>
      </c>
      <c r="EM10" s="48"/>
      <c r="EN10" s="52" t="s">
        <v>585</v>
      </c>
      <c r="EO10" s="48"/>
      <c r="EP10" s="48" t="s">
        <v>532</v>
      </c>
      <c r="EQ10" s="48"/>
      <c r="ER10" s="48" t="s">
        <v>586</v>
      </c>
      <c r="ES10" s="48"/>
      <c r="ET10" s="52" t="s">
        <v>586</v>
      </c>
      <c r="EU10" s="134"/>
      <c r="EV10" s="134" t="s">
        <v>587</v>
      </c>
      <c r="EW10" s="211" t="s">
        <v>3855</v>
      </c>
      <c r="EX10" s="211" t="s">
        <v>3931</v>
      </c>
      <c r="EY10" s="211" t="s">
        <v>3993</v>
      </c>
      <c r="EZ10" s="211" t="s">
        <v>4055</v>
      </c>
      <c r="FA10" s="211" t="s">
        <v>4117</v>
      </c>
      <c r="FB10" s="211" t="s">
        <v>4181</v>
      </c>
      <c r="FC10" s="211" t="s">
        <v>4242</v>
      </c>
      <c r="FD10" s="211" t="s">
        <v>4303</v>
      </c>
      <c r="FE10" s="211" t="s">
        <v>4364</v>
      </c>
      <c r="FF10" s="151"/>
      <c r="FG10" s="151"/>
      <c r="FH10" s="134"/>
      <c r="FI10" s="134"/>
      <c r="FJ10" s="136"/>
      <c r="FK10" s="134"/>
      <c r="FL10" s="136"/>
      <c r="FM10" s="134"/>
      <c r="FN10" s="136"/>
      <c r="FO10" s="134"/>
      <c r="FP10" s="142"/>
      <c r="FQ10" s="136"/>
      <c r="FR10" s="134"/>
      <c r="FS10" s="134"/>
      <c r="FT10" s="136"/>
      <c r="FU10" s="134"/>
      <c r="FV10" s="160"/>
      <c r="FW10" s="134"/>
      <c r="FX10" s="160"/>
      <c r="FY10" s="56"/>
      <c r="FZ10" s="56"/>
      <c r="GA10" s="56"/>
      <c r="GB10" s="56"/>
    </row>
    <row r="11" spans="1:185" ht="12" customHeight="1" x14ac:dyDescent="0.2">
      <c r="A11" s="68" t="s">
        <v>588</v>
      </c>
      <c r="B11" s="189" t="s">
        <v>2824</v>
      </c>
      <c r="C11" s="189" t="s">
        <v>2898</v>
      </c>
      <c r="D11" s="211" t="s">
        <v>3156</v>
      </c>
      <c r="E11" s="53" t="s">
        <v>698</v>
      </c>
      <c r="F11" s="53" t="s">
        <v>472</v>
      </c>
      <c r="G11" s="53" t="s">
        <v>590</v>
      </c>
      <c r="H11" s="211" t="s">
        <v>3253</v>
      </c>
      <c r="I11" s="211" t="s">
        <v>3353</v>
      </c>
      <c r="J11" s="211" t="s">
        <v>24</v>
      </c>
      <c r="K11" s="53"/>
      <c r="L11" s="189">
        <v>2</v>
      </c>
      <c r="M11" s="211" t="s">
        <v>3464</v>
      </c>
      <c r="N11" s="211" t="s">
        <v>3564</v>
      </c>
      <c r="O11" s="189" t="s">
        <v>292</v>
      </c>
      <c r="P11" s="189" t="s">
        <v>293</v>
      </c>
      <c r="Q11" s="211">
        <v>27010</v>
      </c>
      <c r="R11" s="189" t="s">
        <v>294</v>
      </c>
      <c r="S11" s="189" t="s">
        <v>2998</v>
      </c>
      <c r="T11" s="189" t="s">
        <v>3095</v>
      </c>
      <c r="U11" s="211">
        <v>8</v>
      </c>
      <c r="V11" s="211" t="s">
        <v>3653</v>
      </c>
      <c r="W11" s="211" t="s">
        <v>592</v>
      </c>
      <c r="X11" s="53"/>
      <c r="Y11" s="211">
        <v>1</v>
      </c>
      <c r="Z11" s="53" t="s">
        <v>298</v>
      </c>
      <c r="AA11" s="189" t="s">
        <v>3142</v>
      </c>
      <c r="AB11" s="189" t="s">
        <v>410</v>
      </c>
      <c r="AC11" s="211" t="s">
        <v>3757</v>
      </c>
      <c r="AD11" s="161" t="b">
        <v>1</v>
      </c>
      <c r="AE11" s="48"/>
      <c r="AF11" s="53" t="s">
        <v>593</v>
      </c>
      <c r="AG11" s="48"/>
      <c r="AH11" s="53" t="s">
        <v>593</v>
      </c>
      <c r="AI11" s="48"/>
      <c r="AJ11" s="53" t="s">
        <v>594</v>
      </c>
      <c r="AK11" s="48"/>
      <c r="AL11" s="53" t="s">
        <v>595</v>
      </c>
      <c r="AM11" s="48"/>
      <c r="AN11" s="48" t="s">
        <v>596</v>
      </c>
      <c r="AO11" s="48"/>
      <c r="AP11" s="48" t="s">
        <v>596</v>
      </c>
      <c r="AQ11" s="48"/>
      <c r="AR11" s="48" t="s">
        <v>597</v>
      </c>
      <c r="AS11" s="48"/>
      <c r="AT11" s="48" t="s">
        <v>598</v>
      </c>
      <c r="AU11" s="48"/>
      <c r="AV11" s="48" t="s">
        <v>598</v>
      </c>
      <c r="AW11" s="48"/>
      <c r="AX11" s="48" t="s">
        <v>599</v>
      </c>
      <c r="AY11" s="48"/>
      <c r="AZ11" s="48" t="s">
        <v>599</v>
      </c>
      <c r="BA11" s="48" t="s">
        <v>600</v>
      </c>
      <c r="BB11" s="48"/>
      <c r="BC11" s="48"/>
      <c r="BD11" s="48" t="s">
        <v>601</v>
      </c>
      <c r="BE11" s="48"/>
      <c r="BF11" s="48" t="s">
        <v>601</v>
      </c>
      <c r="BG11" s="48"/>
      <c r="BH11" s="48" t="s">
        <v>602</v>
      </c>
      <c r="BI11" s="48"/>
      <c r="BJ11" s="48" t="s">
        <v>602</v>
      </c>
      <c r="BK11" s="48"/>
      <c r="BL11" s="48" t="s">
        <v>603</v>
      </c>
      <c r="BM11" s="48"/>
      <c r="BN11" s="48" t="s">
        <v>603</v>
      </c>
      <c r="BO11" s="48"/>
      <c r="BP11" s="48" t="s">
        <v>604</v>
      </c>
      <c r="BQ11" s="48"/>
      <c r="BR11" s="48"/>
      <c r="BS11" s="48" t="s">
        <v>605</v>
      </c>
      <c r="BT11" s="48"/>
      <c r="BU11" s="48" t="s">
        <v>605</v>
      </c>
      <c r="BV11" s="48"/>
      <c r="BW11" s="48" t="s">
        <v>606</v>
      </c>
      <c r="BX11" s="48"/>
      <c r="BY11" s="48" t="s">
        <v>606</v>
      </c>
      <c r="BZ11" s="48"/>
      <c r="CA11" s="48" t="s">
        <v>607</v>
      </c>
      <c r="CB11" s="48"/>
      <c r="CC11" s="48" t="s">
        <v>607</v>
      </c>
      <c r="CD11" s="48"/>
      <c r="CE11" s="48" t="s">
        <v>452</v>
      </c>
      <c r="CF11" s="48"/>
      <c r="CG11" s="48" t="s">
        <v>452</v>
      </c>
      <c r="CH11" s="48"/>
      <c r="CI11" s="48" t="s">
        <v>608</v>
      </c>
      <c r="CJ11" s="48"/>
      <c r="CK11" s="48" t="s">
        <v>608</v>
      </c>
      <c r="CL11" s="48"/>
      <c r="CM11" s="48" t="s">
        <v>609</v>
      </c>
      <c r="CN11" s="48"/>
      <c r="CO11" s="48" t="s">
        <v>544</v>
      </c>
      <c r="CP11" s="48"/>
      <c r="CQ11" s="48" t="s">
        <v>544</v>
      </c>
      <c r="CR11" s="48"/>
      <c r="CS11" s="48" t="s">
        <v>610</v>
      </c>
      <c r="CT11" s="48"/>
      <c r="CU11" s="48" t="s">
        <v>611</v>
      </c>
      <c r="CV11" s="48"/>
      <c r="CW11" s="48" t="s">
        <v>611</v>
      </c>
      <c r="CX11" s="48"/>
      <c r="CY11" s="48" t="s">
        <v>612</v>
      </c>
      <c r="CZ11" s="48"/>
      <c r="DA11" s="48" t="s">
        <v>612</v>
      </c>
      <c r="DB11" s="48"/>
      <c r="DC11" s="48" t="s">
        <v>613</v>
      </c>
      <c r="DD11" s="48"/>
      <c r="DE11" s="48" t="s">
        <v>613</v>
      </c>
      <c r="DF11" s="48"/>
      <c r="DG11" s="48" t="s">
        <v>604</v>
      </c>
      <c r="DH11" s="48" t="s">
        <v>614</v>
      </c>
      <c r="DI11" s="48"/>
      <c r="DJ11" s="48" t="s">
        <v>615</v>
      </c>
      <c r="DK11" s="48"/>
      <c r="DL11" s="48" t="s">
        <v>616</v>
      </c>
      <c r="DM11" s="48"/>
      <c r="DN11" s="48" t="s">
        <v>616</v>
      </c>
      <c r="DO11" s="48"/>
      <c r="DP11" s="48" t="s">
        <v>617</v>
      </c>
      <c r="DQ11" s="48"/>
      <c r="DR11" s="48" t="s">
        <v>617</v>
      </c>
      <c r="DS11" s="48"/>
      <c r="DT11" s="48" t="s">
        <v>398</v>
      </c>
      <c r="DU11" s="48"/>
      <c r="DV11" s="48" t="s">
        <v>398</v>
      </c>
      <c r="DW11" s="48"/>
      <c r="DX11" s="48" t="s">
        <v>618</v>
      </c>
      <c r="DY11" s="48"/>
      <c r="DZ11" s="48" t="s">
        <v>618</v>
      </c>
      <c r="EA11" s="48"/>
      <c r="EB11" s="80" t="s">
        <v>618</v>
      </c>
      <c r="EC11" s="48"/>
      <c r="ED11" s="48" t="s">
        <v>619</v>
      </c>
      <c r="EE11" s="48"/>
      <c r="EF11" s="48" t="s">
        <v>620</v>
      </c>
      <c r="EG11" s="56"/>
      <c r="EH11" s="48" t="s">
        <v>621</v>
      </c>
      <c r="EI11" s="52"/>
      <c r="EJ11" s="48" t="s">
        <v>622</v>
      </c>
      <c r="EK11" s="56"/>
      <c r="EL11" s="52" t="s">
        <v>585</v>
      </c>
      <c r="EM11" s="48"/>
      <c r="EN11" s="52" t="s">
        <v>585</v>
      </c>
      <c r="EO11" s="48"/>
      <c r="EP11" s="48" t="s">
        <v>532</v>
      </c>
      <c r="EQ11" s="48"/>
      <c r="ER11" s="48" t="s">
        <v>469</v>
      </c>
      <c r="ES11" s="48"/>
      <c r="ET11" s="71" t="s">
        <v>469</v>
      </c>
      <c r="EU11" s="134"/>
      <c r="EV11" s="134" t="s">
        <v>623</v>
      </c>
      <c r="EW11" s="211" t="s">
        <v>3856</v>
      </c>
      <c r="EX11" s="211" t="s">
        <v>3932</v>
      </c>
      <c r="EY11" s="211" t="s">
        <v>3994</v>
      </c>
      <c r="EZ11" s="211" t="s">
        <v>4056</v>
      </c>
      <c r="FA11" s="211" t="s">
        <v>4118</v>
      </c>
      <c r="FB11" s="211" t="s">
        <v>4182</v>
      </c>
      <c r="FC11" s="211" t="s">
        <v>4243</v>
      </c>
      <c r="FD11" s="211" t="s">
        <v>4304</v>
      </c>
      <c r="FE11" s="211" t="s">
        <v>4365</v>
      </c>
      <c r="FF11" s="175"/>
      <c r="FG11" s="134"/>
      <c r="FH11" s="134"/>
      <c r="FI11" s="134"/>
      <c r="FJ11" s="136"/>
      <c r="FK11" s="134"/>
      <c r="FL11" s="136"/>
      <c r="FM11" s="134"/>
      <c r="FN11" s="136"/>
      <c r="FO11" s="134"/>
      <c r="FP11" s="142"/>
      <c r="FQ11" s="134"/>
      <c r="FR11" s="134"/>
      <c r="FS11" s="136"/>
      <c r="FT11" s="136"/>
      <c r="FU11" s="136"/>
      <c r="FV11" s="160"/>
      <c r="FW11" s="136"/>
      <c r="FX11" s="160"/>
      <c r="FY11" s="56"/>
      <c r="FZ11" s="56"/>
      <c r="GA11" s="56"/>
      <c r="GB11" s="56"/>
    </row>
    <row r="12" spans="1:185" ht="12.75" customHeight="1" x14ac:dyDescent="0.2">
      <c r="A12" s="119" t="s">
        <v>289</v>
      </c>
      <c r="B12" s="189" t="s">
        <v>2815</v>
      </c>
      <c r="C12" s="189" t="s">
        <v>2899</v>
      </c>
      <c r="D12" s="211" t="s">
        <v>3157</v>
      </c>
      <c r="E12" s="48" t="s">
        <v>24</v>
      </c>
      <c r="F12" s="53" t="s">
        <v>407</v>
      </c>
      <c r="G12" s="53"/>
      <c r="H12" s="211" t="s">
        <v>3254</v>
      </c>
      <c r="I12" s="211" t="s">
        <v>3354</v>
      </c>
      <c r="J12" s="211" t="s">
        <v>3443</v>
      </c>
      <c r="K12" s="211" t="s">
        <v>3445</v>
      </c>
      <c r="L12" s="189">
        <v>3</v>
      </c>
      <c r="M12" s="211" t="s">
        <v>3465</v>
      </c>
      <c r="N12" s="211" t="s">
        <v>3565</v>
      </c>
      <c r="O12" s="189" t="s">
        <v>292</v>
      </c>
      <c r="P12" s="189" t="s">
        <v>293</v>
      </c>
      <c r="Q12" s="211">
        <v>27011</v>
      </c>
      <c r="R12" s="189" t="s">
        <v>294</v>
      </c>
      <c r="S12" s="189" t="s">
        <v>2999</v>
      </c>
      <c r="T12" s="189" t="s">
        <v>628</v>
      </c>
      <c r="U12" s="211">
        <v>5</v>
      </c>
      <c r="V12" s="211" t="s">
        <v>3654</v>
      </c>
      <c r="W12" s="211" t="s">
        <v>3657</v>
      </c>
      <c r="X12" s="53" t="s">
        <v>24</v>
      </c>
      <c r="Y12" s="211">
        <v>1</v>
      </c>
      <c r="Z12" s="48" t="s">
        <v>535</v>
      </c>
      <c r="AA12" s="189" t="s">
        <v>299</v>
      </c>
      <c r="AB12" s="189" t="s">
        <v>336</v>
      </c>
      <c r="AC12" s="211" t="s">
        <v>3758</v>
      </c>
      <c r="AD12" s="162" t="b">
        <v>1</v>
      </c>
      <c r="AE12" s="53"/>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c r="BO12" s="48"/>
      <c r="BP12" s="48"/>
      <c r="BQ12" s="48"/>
      <c r="BR12" s="48"/>
      <c r="BS12" s="48"/>
      <c r="BT12" s="48"/>
      <c r="BU12" s="48"/>
      <c r="BV12" s="48"/>
      <c r="BW12" s="48"/>
      <c r="BX12" s="48"/>
      <c r="BY12" s="48"/>
      <c r="BZ12" s="48"/>
      <c r="CA12" s="48"/>
      <c r="CB12" s="48"/>
      <c r="CC12" s="48"/>
      <c r="CD12" s="48"/>
      <c r="CE12" s="48"/>
      <c r="CF12" s="48"/>
      <c r="CG12" s="48"/>
      <c r="CH12" s="48"/>
      <c r="CI12" s="48"/>
      <c r="CJ12" s="48"/>
      <c r="CK12" s="48"/>
      <c r="CL12" s="48"/>
      <c r="CM12" s="48"/>
      <c r="CN12" s="48"/>
      <c r="CO12" s="48"/>
      <c r="CP12" s="48"/>
      <c r="CQ12" s="48"/>
      <c r="CR12" s="48"/>
      <c r="CS12" s="48"/>
      <c r="CT12" s="48"/>
      <c r="CU12" s="48"/>
      <c r="CV12" s="48"/>
      <c r="CW12" s="48"/>
      <c r="CX12" s="48"/>
      <c r="CY12" s="48"/>
      <c r="CZ12" s="48"/>
      <c r="DA12" s="48"/>
      <c r="DB12" s="48"/>
      <c r="DC12" s="48"/>
      <c r="DD12" s="48"/>
      <c r="DE12" s="48"/>
      <c r="DF12" s="48"/>
      <c r="DG12" s="48"/>
      <c r="DH12" s="48"/>
      <c r="DI12" s="48"/>
      <c r="DJ12" s="48"/>
      <c r="DK12" s="48"/>
      <c r="DL12" s="48"/>
      <c r="DM12" s="48"/>
      <c r="DN12" s="48"/>
      <c r="DO12" s="48"/>
      <c r="DP12" s="48"/>
      <c r="DQ12" s="48"/>
      <c r="DR12" s="87"/>
      <c r="DS12" s="87"/>
      <c r="DT12" s="48"/>
      <c r="DU12" s="48"/>
      <c r="DV12" s="48"/>
      <c r="DW12" s="48"/>
      <c r="DX12" s="48"/>
      <c r="DY12" s="48"/>
      <c r="DZ12" s="48"/>
      <c r="EA12" s="48"/>
      <c r="EB12" s="48"/>
      <c r="EC12" s="48"/>
      <c r="ED12" s="48"/>
      <c r="EE12" s="48"/>
      <c r="EF12" s="48"/>
      <c r="EG12" s="48"/>
      <c r="EH12" s="48"/>
      <c r="EI12" s="52"/>
      <c r="EJ12" s="87"/>
      <c r="EK12" s="56"/>
      <c r="EL12" s="52"/>
      <c r="EM12" s="48"/>
      <c r="EN12" s="52"/>
      <c r="EO12" s="48"/>
      <c r="EP12" s="48" t="s">
        <v>625</v>
      </c>
      <c r="EQ12" s="48"/>
      <c r="ER12" s="48" t="s">
        <v>626</v>
      </c>
      <c r="ES12" s="48"/>
      <c r="ET12" s="52" t="s">
        <v>626</v>
      </c>
      <c r="EU12" s="134"/>
      <c r="EV12" s="134" t="s">
        <v>627</v>
      </c>
      <c r="EW12" s="211" t="s">
        <v>3857</v>
      </c>
      <c r="EX12" s="211" t="s">
        <v>3933</v>
      </c>
      <c r="EY12" s="211" t="s">
        <v>3995</v>
      </c>
      <c r="EZ12" s="211" t="s">
        <v>4057</v>
      </c>
      <c r="FA12" s="211" t="s">
        <v>4119</v>
      </c>
      <c r="FB12" s="211" t="s">
        <v>4183</v>
      </c>
      <c r="FC12" s="211" t="s">
        <v>4244</v>
      </c>
      <c r="FD12" s="211" t="s">
        <v>4305</v>
      </c>
      <c r="FE12" s="211" t="s">
        <v>4366</v>
      </c>
      <c r="FF12" s="146"/>
      <c r="FG12" s="134"/>
      <c r="FH12" s="134"/>
      <c r="FI12" s="134"/>
      <c r="FJ12" s="174"/>
      <c r="FK12" s="134"/>
      <c r="FL12" s="174"/>
      <c r="FM12" s="134"/>
      <c r="FN12" s="174"/>
      <c r="FO12" s="134"/>
      <c r="FP12" s="174"/>
      <c r="FQ12" s="134"/>
      <c r="FR12" s="134"/>
      <c r="FS12" s="134"/>
      <c r="FT12" s="136"/>
      <c r="FU12" s="134"/>
      <c r="FV12" s="160"/>
      <c r="FW12" s="134"/>
      <c r="FX12" s="160"/>
      <c r="FY12" s="56"/>
      <c r="FZ12" s="56"/>
      <c r="GA12" s="56"/>
      <c r="GB12" s="56"/>
    </row>
    <row r="13" spans="1:185" ht="12.75" customHeight="1" x14ac:dyDescent="0.2">
      <c r="A13" s="68" t="s">
        <v>289</v>
      </c>
      <c r="B13" s="189" t="s">
        <v>2820</v>
      </c>
      <c r="C13" s="189" t="s">
        <v>2900</v>
      </c>
      <c r="D13" s="211" t="s">
        <v>3158</v>
      </c>
      <c r="E13" s="70" t="s">
        <v>24</v>
      </c>
      <c r="F13" s="53" t="s">
        <v>407</v>
      </c>
      <c r="G13" s="53"/>
      <c r="H13" s="211" t="s">
        <v>3255</v>
      </c>
      <c r="I13" s="211" t="s">
        <v>3355</v>
      </c>
      <c r="J13" s="211" t="s">
        <v>472</v>
      </c>
      <c r="K13" s="211"/>
      <c r="L13" s="189">
        <v>6</v>
      </c>
      <c r="M13" s="211" t="s">
        <v>3466</v>
      </c>
      <c r="N13" s="211" t="s">
        <v>3566</v>
      </c>
      <c r="O13" s="189" t="s">
        <v>292</v>
      </c>
      <c r="P13" s="189" t="s">
        <v>293</v>
      </c>
      <c r="Q13" s="211">
        <v>27012</v>
      </c>
      <c r="R13" s="189" t="s">
        <v>294</v>
      </c>
      <c r="S13" s="189" t="s">
        <v>3000</v>
      </c>
      <c r="T13" s="189" t="s">
        <v>408</v>
      </c>
      <c r="U13" s="211">
        <v>7</v>
      </c>
      <c r="V13" s="211" t="s">
        <v>3654</v>
      </c>
      <c r="W13" s="211" t="s">
        <v>3658</v>
      </c>
      <c r="X13" s="53"/>
      <c r="Y13" s="211">
        <v>1</v>
      </c>
      <c r="Z13" s="53" t="s">
        <v>535</v>
      </c>
      <c r="AA13" s="189" t="s">
        <v>3143</v>
      </c>
      <c r="AB13" s="189" t="s">
        <v>3146</v>
      </c>
      <c r="AC13" s="211" t="s">
        <v>3759</v>
      </c>
      <c r="AD13" s="163" t="b">
        <v>1</v>
      </c>
      <c r="AE13" s="48"/>
      <c r="AF13" s="53" t="s">
        <v>300</v>
      </c>
      <c r="AG13" s="48"/>
      <c r="AH13" s="53" t="s">
        <v>630</v>
      </c>
      <c r="AI13" s="48"/>
      <c r="AJ13" s="48" t="s">
        <v>412</v>
      </c>
      <c r="AK13" s="48"/>
      <c r="AL13" s="48" t="s">
        <v>412</v>
      </c>
      <c r="AM13" s="48"/>
      <c r="AN13" s="48" t="s">
        <v>341</v>
      </c>
      <c r="AO13" s="48"/>
      <c r="AP13" s="48" t="s">
        <v>341</v>
      </c>
      <c r="AQ13" s="48"/>
      <c r="AR13" s="48" t="s">
        <v>631</v>
      </c>
      <c r="AS13" s="48"/>
      <c r="AT13" s="48" t="s">
        <v>632</v>
      </c>
      <c r="AU13" s="48"/>
      <c r="AV13" s="48" t="s">
        <v>633</v>
      </c>
      <c r="AW13" s="48"/>
      <c r="AX13" s="48" t="s">
        <v>634</v>
      </c>
      <c r="AY13" s="48"/>
      <c r="AZ13" s="48" t="s">
        <v>634</v>
      </c>
      <c r="BA13" s="48" t="s">
        <v>635</v>
      </c>
      <c r="BB13" s="48"/>
      <c r="BC13" s="48"/>
      <c r="BD13" s="48" t="s">
        <v>511</v>
      </c>
      <c r="BE13" s="48" t="s">
        <v>636</v>
      </c>
      <c r="BF13" s="48" t="s">
        <v>511</v>
      </c>
      <c r="BG13" s="48"/>
      <c r="BH13" s="48" t="s">
        <v>512</v>
      </c>
      <c r="BI13" s="48"/>
      <c r="BJ13" s="48" t="s">
        <v>512</v>
      </c>
      <c r="BK13" s="48"/>
      <c r="BL13" s="48" t="s">
        <v>513</v>
      </c>
      <c r="BM13" s="48"/>
      <c r="BN13" s="48" t="s">
        <v>513</v>
      </c>
      <c r="BO13" s="48"/>
      <c r="BP13" s="48" t="s">
        <v>637</v>
      </c>
      <c r="BQ13" s="48"/>
      <c r="BR13" s="48"/>
      <c r="BS13" s="48" t="s">
        <v>638</v>
      </c>
      <c r="BT13" s="48"/>
      <c r="BU13" s="48" t="s">
        <v>639</v>
      </c>
      <c r="BV13" s="48"/>
      <c r="BW13" s="48" t="s">
        <v>640</v>
      </c>
      <c r="BX13" s="48"/>
      <c r="BY13" s="48" t="s">
        <v>640</v>
      </c>
      <c r="BZ13" s="48"/>
      <c r="CA13" s="48" t="s">
        <v>641</v>
      </c>
      <c r="CB13" s="48"/>
      <c r="CC13" s="48" t="s">
        <v>641</v>
      </c>
      <c r="CD13" s="48"/>
      <c r="CE13" s="48" t="s">
        <v>642</v>
      </c>
      <c r="CF13" s="48"/>
      <c r="CG13" s="48" t="s">
        <v>642</v>
      </c>
      <c r="CH13" s="48"/>
      <c r="CI13" s="48" t="s">
        <v>643</v>
      </c>
      <c r="CJ13" s="48"/>
      <c r="CK13" s="48" t="s">
        <v>643</v>
      </c>
      <c r="CL13" s="48"/>
      <c r="CM13" s="48" t="s">
        <v>644</v>
      </c>
      <c r="CN13" s="48"/>
      <c r="CO13" s="48" t="s">
        <v>644</v>
      </c>
      <c r="CP13" s="48"/>
      <c r="CQ13" s="53" t="s">
        <v>645</v>
      </c>
      <c r="CR13" s="53"/>
      <c r="CS13" s="53" t="s">
        <v>645</v>
      </c>
      <c r="CT13" s="48"/>
      <c r="CU13" s="48" t="s">
        <v>646</v>
      </c>
      <c r="CV13" s="48"/>
      <c r="CW13" s="48" t="s">
        <v>646</v>
      </c>
      <c r="CX13" s="48"/>
      <c r="CY13" s="48" t="s">
        <v>634</v>
      </c>
      <c r="CZ13" s="48"/>
      <c r="DA13" s="48" t="s">
        <v>634</v>
      </c>
      <c r="DB13" s="48"/>
      <c r="DC13" s="48" t="s">
        <v>361</v>
      </c>
      <c r="DD13" s="48"/>
      <c r="DE13" s="48" t="s">
        <v>361</v>
      </c>
      <c r="DF13" s="48"/>
      <c r="DG13" s="48" t="s">
        <v>637</v>
      </c>
      <c r="DH13" s="48" t="s">
        <v>647</v>
      </c>
      <c r="DI13" s="48"/>
      <c r="DJ13" s="48" t="s">
        <v>647</v>
      </c>
      <c r="DK13" s="48"/>
      <c r="DL13" s="48" t="s">
        <v>648</v>
      </c>
      <c r="DM13" s="48"/>
      <c r="DN13" s="48" t="s">
        <v>648</v>
      </c>
      <c r="DO13" s="48"/>
      <c r="DP13" s="48" t="s">
        <v>649</v>
      </c>
      <c r="DQ13" s="56"/>
      <c r="DR13" s="48" t="s">
        <v>649</v>
      </c>
      <c r="DS13" s="48"/>
      <c r="DT13" s="48" t="s">
        <v>398</v>
      </c>
      <c r="DU13" s="48"/>
      <c r="DV13" s="56" t="s">
        <v>398</v>
      </c>
      <c r="DW13" s="48"/>
      <c r="DX13" s="48" t="s">
        <v>530</v>
      </c>
      <c r="DY13" s="48"/>
      <c r="DZ13" s="48" t="s">
        <v>530</v>
      </c>
      <c r="EA13" s="48"/>
      <c r="EB13" s="103" t="s">
        <v>530</v>
      </c>
      <c r="EC13" s="48"/>
      <c r="ED13" s="48" t="s">
        <v>402</v>
      </c>
      <c r="EE13" s="48"/>
      <c r="EF13" s="48" t="s">
        <v>402</v>
      </c>
      <c r="EG13" s="48"/>
      <c r="EH13" s="48" t="s">
        <v>370</v>
      </c>
      <c r="EI13" s="52"/>
      <c r="EJ13" s="48" t="s">
        <v>370</v>
      </c>
      <c r="EK13" s="56"/>
      <c r="EL13" s="52" t="s">
        <v>371</v>
      </c>
      <c r="EM13" s="48"/>
      <c r="EN13" s="52" t="s">
        <v>371</v>
      </c>
      <c r="EO13" s="48"/>
      <c r="EP13" s="48" t="s">
        <v>404</v>
      </c>
      <c r="EQ13" s="48"/>
      <c r="ER13" s="48" t="s">
        <v>404</v>
      </c>
      <c r="ES13" s="48"/>
      <c r="ET13" s="52" t="s">
        <v>405</v>
      </c>
      <c r="EU13" s="134"/>
      <c r="EV13" s="48" t="s">
        <v>405</v>
      </c>
      <c r="EW13" s="211" t="s">
        <v>333</v>
      </c>
      <c r="EX13" s="211" t="s">
        <v>3934</v>
      </c>
      <c r="EY13" s="211" t="s">
        <v>3996</v>
      </c>
      <c r="EZ13" s="211" t="s">
        <v>4058</v>
      </c>
      <c r="FA13" s="211" t="s">
        <v>4120</v>
      </c>
      <c r="FB13" s="211" t="s">
        <v>4184</v>
      </c>
      <c r="FC13" s="211" t="s">
        <v>4245</v>
      </c>
      <c r="FD13" s="211" t="s">
        <v>4306</v>
      </c>
      <c r="FE13" s="211" t="s">
        <v>4367</v>
      </c>
      <c r="FF13" s="146"/>
      <c r="FG13" s="134"/>
      <c r="FH13" s="134"/>
      <c r="FI13" s="134"/>
      <c r="FJ13" s="136"/>
      <c r="FK13" s="134"/>
      <c r="FL13" s="136"/>
      <c r="FM13" s="134"/>
      <c r="FN13" s="174"/>
      <c r="FO13" s="134"/>
      <c r="FP13" s="174"/>
      <c r="FQ13" s="134"/>
      <c r="FR13" s="172"/>
      <c r="FS13" s="136"/>
      <c r="FT13" s="174"/>
      <c r="FU13" s="134"/>
      <c r="FV13" s="160"/>
      <c r="FW13" s="134"/>
      <c r="FX13" s="160"/>
      <c r="FY13" s="56"/>
      <c r="FZ13" s="56"/>
      <c r="GA13" s="56"/>
      <c r="GB13" s="56"/>
    </row>
    <row r="14" spans="1:185" ht="12.75" customHeight="1" x14ac:dyDescent="0.2">
      <c r="A14" s="96" t="s">
        <v>289</v>
      </c>
      <c r="B14" s="189" t="s">
        <v>2825</v>
      </c>
      <c r="C14" s="189" t="s">
        <v>2901</v>
      </c>
      <c r="D14" s="211" t="s">
        <v>3159</v>
      </c>
      <c r="E14" s="53" t="s">
        <v>472</v>
      </c>
      <c r="F14" s="53" t="s">
        <v>24</v>
      </c>
      <c r="G14" s="53"/>
      <c r="H14" s="211" t="s">
        <v>3256</v>
      </c>
      <c r="I14" s="211" t="s">
        <v>3356</v>
      </c>
      <c r="J14" s="211" t="s">
        <v>870</v>
      </c>
      <c r="K14" s="211"/>
      <c r="L14" s="189">
        <v>6</v>
      </c>
      <c r="M14" s="211" t="s">
        <v>3467</v>
      </c>
      <c r="N14" s="211" t="s">
        <v>3567</v>
      </c>
      <c r="O14" s="189" t="s">
        <v>292</v>
      </c>
      <c r="P14" s="189" t="s">
        <v>293</v>
      </c>
      <c r="Q14" s="211">
        <v>27013</v>
      </c>
      <c r="R14" s="189" t="s">
        <v>294</v>
      </c>
      <c r="S14" s="189" t="s">
        <v>3001</v>
      </c>
      <c r="T14" s="189" t="s">
        <v>3096</v>
      </c>
      <c r="U14" s="211">
        <v>7</v>
      </c>
      <c r="V14" s="211" t="s">
        <v>3654</v>
      </c>
      <c r="W14" s="211" t="s">
        <v>3659</v>
      </c>
      <c r="X14" s="53"/>
      <c r="Y14" s="211">
        <v>2</v>
      </c>
      <c r="Z14" s="53" t="s">
        <v>535</v>
      </c>
      <c r="AA14" s="189" t="s">
        <v>3143</v>
      </c>
      <c r="AB14" s="189" t="s">
        <v>766</v>
      </c>
      <c r="AC14" s="211" t="s">
        <v>3760</v>
      </c>
      <c r="AD14" s="161" t="b">
        <v>1</v>
      </c>
      <c r="AE14" s="53"/>
      <c r="AF14" s="48"/>
      <c r="AG14" s="48"/>
      <c r="AH14" s="48"/>
      <c r="AI14" s="48"/>
      <c r="AJ14" s="48"/>
      <c r="AK14" s="48"/>
      <c r="AL14" s="48"/>
      <c r="AM14" s="48"/>
      <c r="AN14" s="48"/>
      <c r="AO14" s="48"/>
      <c r="AP14" s="48"/>
      <c r="AQ14" s="48"/>
      <c r="AR14" s="48"/>
      <c r="AS14" s="48"/>
      <c r="AT14" s="48"/>
      <c r="AU14" s="48"/>
      <c r="AV14" s="48"/>
      <c r="AW14" s="48"/>
      <c r="AX14" s="48"/>
      <c r="AY14" s="48"/>
      <c r="AZ14" s="48"/>
      <c r="BA14" s="48"/>
      <c r="BB14" s="48">
        <v>2</v>
      </c>
      <c r="BC14" s="48"/>
      <c r="BD14" s="48"/>
      <c r="BE14" s="48"/>
      <c r="BF14" s="48"/>
      <c r="BG14" s="48"/>
      <c r="BH14" s="48"/>
      <c r="BI14" s="48"/>
      <c r="BJ14" s="48"/>
      <c r="BK14" s="48"/>
      <c r="BL14" s="48"/>
      <c r="BM14" s="48"/>
      <c r="BN14" s="48"/>
      <c r="BO14" s="48"/>
      <c r="BP14" s="48"/>
      <c r="BQ14" s="48"/>
      <c r="BR14" s="48"/>
      <c r="BS14" s="48"/>
      <c r="BT14" s="48"/>
      <c r="BU14" s="48"/>
      <c r="BV14" s="48"/>
      <c r="BW14" s="48"/>
      <c r="BX14" s="48"/>
      <c r="BY14" s="48"/>
      <c r="BZ14" s="48"/>
      <c r="CA14" s="48"/>
      <c r="CB14" s="48"/>
      <c r="CC14" s="48"/>
      <c r="CD14" s="48"/>
      <c r="CE14" s="48"/>
      <c r="CF14" s="48"/>
      <c r="CG14" s="48"/>
      <c r="CH14" s="48"/>
      <c r="CI14" s="48"/>
      <c r="CJ14" s="48"/>
      <c r="CK14" s="48"/>
      <c r="CL14" s="48"/>
      <c r="CM14" s="48"/>
      <c r="CN14" s="48"/>
      <c r="CO14" s="48"/>
      <c r="CP14" s="48"/>
      <c r="CQ14" s="48"/>
      <c r="CR14" s="48"/>
      <c r="CS14" s="48"/>
      <c r="CT14" s="48"/>
      <c r="CU14" s="48"/>
      <c r="CV14" s="48"/>
      <c r="CW14" s="48"/>
      <c r="CX14" s="48"/>
      <c r="CY14" s="48"/>
      <c r="CZ14" s="48"/>
      <c r="DA14" s="48"/>
      <c r="DB14" s="48"/>
      <c r="DC14" s="48"/>
      <c r="DD14" s="48"/>
      <c r="DE14" s="48"/>
      <c r="DF14" s="48"/>
      <c r="DG14" s="48"/>
      <c r="DH14" s="48" t="s">
        <v>651</v>
      </c>
      <c r="DI14" s="48"/>
      <c r="DJ14" s="48" t="s">
        <v>652</v>
      </c>
      <c r="DK14" s="48"/>
      <c r="DL14" s="48" t="s">
        <v>363</v>
      </c>
      <c r="DM14" s="48"/>
      <c r="DN14" s="48" t="s">
        <v>363</v>
      </c>
      <c r="DO14" s="48"/>
      <c r="DP14" s="48" t="s">
        <v>364</v>
      </c>
      <c r="DQ14" s="56"/>
      <c r="DR14" s="48" t="s">
        <v>364</v>
      </c>
      <c r="DS14" s="48"/>
      <c r="DT14" s="13" t="s">
        <v>653</v>
      </c>
      <c r="DU14" s="48"/>
      <c r="DV14" s="13" t="s">
        <v>653</v>
      </c>
      <c r="DW14" s="48"/>
      <c r="DX14" s="48" t="s">
        <v>530</v>
      </c>
      <c r="DY14" s="48"/>
      <c r="DZ14" s="48" t="s">
        <v>530</v>
      </c>
      <c r="EA14" s="48"/>
      <c r="EB14" s="103" t="s">
        <v>530</v>
      </c>
      <c r="EC14" s="48"/>
      <c r="ED14" s="48" t="s">
        <v>369</v>
      </c>
      <c r="EE14" s="48"/>
      <c r="EF14" s="48" t="s">
        <v>369</v>
      </c>
      <c r="EG14" s="48"/>
      <c r="EH14" s="48" t="s">
        <v>551</v>
      </c>
      <c r="EI14" s="52"/>
      <c r="EJ14" s="48" t="s">
        <v>551</v>
      </c>
      <c r="EK14" s="56"/>
      <c r="EL14" s="52" t="s">
        <v>371</v>
      </c>
      <c r="EM14" s="48"/>
      <c r="EN14" s="52" t="s">
        <v>371</v>
      </c>
      <c r="EO14" s="48"/>
      <c r="EP14" s="48" t="s">
        <v>404</v>
      </c>
      <c r="EQ14" s="48"/>
      <c r="ER14" s="48" t="s">
        <v>404</v>
      </c>
      <c r="ES14" s="48"/>
      <c r="ET14" s="52" t="s">
        <v>405</v>
      </c>
      <c r="EU14" s="134"/>
      <c r="EV14" s="48" t="s">
        <v>405</v>
      </c>
      <c r="EW14" s="211" t="s">
        <v>3858</v>
      </c>
      <c r="EX14" s="211" t="s">
        <v>3935</v>
      </c>
      <c r="EY14" s="211" t="s">
        <v>3997</v>
      </c>
      <c r="EZ14" s="211" t="s">
        <v>4059</v>
      </c>
      <c r="FA14" s="211" t="s">
        <v>4121</v>
      </c>
      <c r="FB14" s="211" t="s">
        <v>4185</v>
      </c>
      <c r="FC14" s="211" t="s">
        <v>4246</v>
      </c>
      <c r="FD14" s="211" t="s">
        <v>4307</v>
      </c>
      <c r="FE14" s="211" t="s">
        <v>4368</v>
      </c>
      <c r="FF14" s="146"/>
      <c r="FG14" s="134"/>
      <c r="FH14" s="134"/>
      <c r="FI14" s="134"/>
      <c r="FJ14" s="174"/>
      <c r="FK14" s="134"/>
      <c r="FL14" s="174"/>
      <c r="FM14" s="134"/>
      <c r="FN14" s="174"/>
      <c r="FO14" s="134"/>
      <c r="FP14" s="174"/>
      <c r="FQ14" s="134"/>
      <c r="FR14" s="172"/>
      <c r="FS14" s="136"/>
      <c r="FT14" s="174"/>
      <c r="FU14" s="134"/>
      <c r="FV14" s="160"/>
      <c r="FW14" s="134"/>
      <c r="FX14" s="160"/>
      <c r="FY14" s="56"/>
      <c r="FZ14" s="56"/>
      <c r="GA14" s="56"/>
      <c r="GB14" s="56"/>
    </row>
    <row r="15" spans="1:185" ht="15" customHeight="1" x14ac:dyDescent="0.2">
      <c r="A15" s="154" t="s">
        <v>289</v>
      </c>
      <c r="B15" s="189" t="s">
        <v>2826</v>
      </c>
      <c r="C15" s="189" t="s">
        <v>2902</v>
      </c>
      <c r="D15" s="211" t="s">
        <v>3160</v>
      </c>
      <c r="E15" s="53" t="s">
        <v>24</v>
      </c>
      <c r="F15" s="53" t="s">
        <v>407</v>
      </c>
      <c r="G15" s="53"/>
      <c r="H15" s="211" t="s">
        <v>3257</v>
      </c>
      <c r="I15" s="211" t="s">
        <v>3357</v>
      </c>
      <c r="J15" s="211" t="s">
        <v>24</v>
      </c>
      <c r="K15" s="211" t="s">
        <v>3446</v>
      </c>
      <c r="L15" s="189">
        <v>2</v>
      </c>
      <c r="M15" s="211" t="s">
        <v>3468</v>
      </c>
      <c r="N15" s="211" t="s">
        <v>3568</v>
      </c>
      <c r="O15" s="189" t="s">
        <v>292</v>
      </c>
      <c r="P15" s="189" t="s">
        <v>293</v>
      </c>
      <c r="Q15" s="211">
        <v>27014</v>
      </c>
      <c r="R15" s="189" t="s">
        <v>294</v>
      </c>
      <c r="S15" s="189" t="s">
        <v>3002</v>
      </c>
      <c r="T15" s="189" t="s">
        <v>3097</v>
      </c>
      <c r="U15" s="211">
        <v>8</v>
      </c>
      <c r="V15" s="211" t="s">
        <v>3654</v>
      </c>
      <c r="W15" s="211" t="s">
        <v>3660</v>
      </c>
      <c r="X15" s="53"/>
      <c r="Y15" s="211">
        <v>1</v>
      </c>
      <c r="Z15" s="53" t="s">
        <v>298</v>
      </c>
      <c r="AA15" s="189" t="s">
        <v>299</v>
      </c>
      <c r="AB15" s="189" t="s">
        <v>766</v>
      </c>
      <c r="AC15" s="211" t="s">
        <v>3761</v>
      </c>
      <c r="AD15" s="161" t="b">
        <v>1</v>
      </c>
      <c r="AE15" s="53"/>
      <c r="AF15" s="48"/>
      <c r="AG15" s="48"/>
      <c r="AH15" s="48"/>
      <c r="AI15" s="48"/>
      <c r="AJ15" s="48"/>
      <c r="AK15" s="48"/>
      <c r="AL15" s="48"/>
      <c r="AM15" s="48"/>
      <c r="AN15" s="48"/>
      <c r="AO15" s="48"/>
      <c r="AP15" s="48"/>
      <c r="AQ15" s="48"/>
      <c r="AR15" s="48"/>
      <c r="AS15" s="48"/>
      <c r="AT15" s="48"/>
      <c r="AU15" s="53"/>
      <c r="AV15" s="48"/>
      <c r="AW15" s="53"/>
      <c r="AX15" s="48"/>
      <c r="AY15" s="48"/>
      <c r="AZ15" s="48"/>
      <c r="BA15" s="48"/>
      <c r="BB15" s="48">
        <v>1</v>
      </c>
      <c r="BC15" s="48"/>
      <c r="BD15" s="48"/>
      <c r="BE15" s="48"/>
      <c r="BF15" s="48"/>
      <c r="BG15" s="48"/>
      <c r="BH15" s="48"/>
      <c r="BI15" s="53"/>
      <c r="BJ15" s="48"/>
      <c r="BK15" s="53"/>
      <c r="BL15" s="53"/>
      <c r="BM15" s="48"/>
      <c r="BN15" s="48"/>
      <c r="BO15" s="48"/>
      <c r="BP15" s="48"/>
      <c r="BQ15" s="48"/>
      <c r="BR15" s="48"/>
      <c r="BS15" s="48"/>
      <c r="BT15" s="48"/>
      <c r="BU15" s="48"/>
      <c r="BV15" s="48"/>
      <c r="BW15" s="48"/>
      <c r="BX15" s="48"/>
      <c r="BY15" s="48"/>
      <c r="BZ15" s="48"/>
      <c r="CA15" s="48"/>
      <c r="CB15" s="48"/>
      <c r="CC15" s="48"/>
      <c r="CD15" s="48"/>
      <c r="CE15" s="48"/>
      <c r="CF15" s="48"/>
      <c r="CG15" s="48"/>
      <c r="CH15" s="48"/>
      <c r="CI15" s="48"/>
      <c r="CJ15" s="48"/>
      <c r="CK15" s="48"/>
      <c r="CL15" s="48"/>
      <c r="CM15" s="48"/>
      <c r="CN15" s="48"/>
      <c r="CO15" s="48"/>
      <c r="CP15" s="48"/>
      <c r="CQ15" s="48"/>
      <c r="CR15" s="48"/>
      <c r="CS15" s="48"/>
      <c r="CT15" s="48"/>
      <c r="CU15" s="48"/>
      <c r="CV15" s="48"/>
      <c r="CW15" s="48"/>
      <c r="CX15" s="48"/>
      <c r="CY15" s="48"/>
      <c r="CZ15" s="48"/>
      <c r="DA15" s="48"/>
      <c r="DB15" s="48"/>
      <c r="DC15" s="48" t="s">
        <v>861</v>
      </c>
      <c r="DD15" s="87"/>
      <c r="DE15" s="48" t="s">
        <v>321</v>
      </c>
      <c r="DF15" s="48"/>
      <c r="DG15" s="87"/>
      <c r="DH15" s="87" t="s">
        <v>321</v>
      </c>
      <c r="DI15" s="87"/>
      <c r="DJ15" s="48" t="s">
        <v>322</v>
      </c>
      <c r="DK15" s="48"/>
      <c r="DL15" s="48" t="s">
        <v>322</v>
      </c>
      <c r="DM15" s="48"/>
      <c r="DN15" s="48" t="s">
        <v>323</v>
      </c>
      <c r="DO15" s="48"/>
      <c r="DP15" s="48" t="s">
        <v>323</v>
      </c>
      <c r="DQ15" s="87"/>
      <c r="DR15" s="48" t="s">
        <v>657</v>
      </c>
      <c r="DS15" s="87"/>
      <c r="DT15" s="48" t="s">
        <v>657</v>
      </c>
      <c r="DU15" s="48"/>
      <c r="DV15" s="48" t="s">
        <v>499</v>
      </c>
      <c r="DW15" s="48"/>
      <c r="DX15" s="48" t="s">
        <v>499</v>
      </c>
      <c r="DY15" s="48"/>
      <c r="DZ15" s="48" t="s">
        <v>862</v>
      </c>
      <c r="EA15" s="48"/>
      <c r="EB15" s="48" t="s">
        <v>862</v>
      </c>
      <c r="EC15" s="48"/>
      <c r="ED15" s="48" t="s">
        <v>667</v>
      </c>
      <c r="EE15" s="48"/>
      <c r="EF15" s="48" t="s">
        <v>667</v>
      </c>
      <c r="EG15" s="48"/>
      <c r="EH15" s="48" t="s">
        <v>370</v>
      </c>
      <c r="EI15" s="48"/>
      <c r="EJ15" s="48" t="s">
        <v>370</v>
      </c>
      <c r="EK15" s="87"/>
      <c r="EL15" s="87" t="s">
        <v>863</v>
      </c>
      <c r="EM15" s="48"/>
      <c r="EN15" s="40" t="s">
        <v>864</v>
      </c>
      <c r="EO15" s="48"/>
      <c r="EP15" s="48"/>
      <c r="EQ15" s="48"/>
      <c r="ER15" s="48" t="s">
        <v>865</v>
      </c>
      <c r="ES15" s="48"/>
      <c r="ET15" s="80" t="s">
        <v>865</v>
      </c>
      <c r="EU15" s="134"/>
      <c r="EV15" s="134" t="s">
        <v>866</v>
      </c>
      <c r="EW15" s="211" t="s">
        <v>3859</v>
      </c>
      <c r="EX15" s="211" t="s">
        <v>3936</v>
      </c>
      <c r="EY15" s="211" t="s">
        <v>3998</v>
      </c>
      <c r="EZ15" s="211" t="s">
        <v>4060</v>
      </c>
      <c r="FA15" s="211" t="s">
        <v>4122</v>
      </c>
      <c r="FB15" s="211" t="s">
        <v>4186</v>
      </c>
      <c r="FC15" s="211" t="s">
        <v>4247</v>
      </c>
      <c r="FD15" s="211" t="s">
        <v>4308</v>
      </c>
      <c r="FE15" s="211" t="s">
        <v>4369</v>
      </c>
      <c r="FF15" s="136"/>
      <c r="FG15" s="134"/>
      <c r="FH15" s="165"/>
      <c r="FI15" s="134"/>
      <c r="FJ15" s="167"/>
      <c r="FK15" s="134"/>
      <c r="FL15" s="167"/>
      <c r="FM15" s="134"/>
      <c r="FN15" s="167"/>
      <c r="FO15" s="134"/>
      <c r="FP15" s="167"/>
      <c r="FQ15" s="136"/>
      <c r="FR15" s="172"/>
      <c r="FS15" s="134"/>
      <c r="FT15" s="174"/>
      <c r="FU15" s="134"/>
      <c r="FV15" s="174"/>
      <c r="FW15" s="134"/>
      <c r="FX15" s="174"/>
      <c r="FY15" s="56"/>
      <c r="FZ15" s="56"/>
      <c r="GA15" s="56"/>
      <c r="GB15" s="56"/>
    </row>
    <row r="16" spans="1:185" ht="15" customHeight="1" x14ac:dyDescent="0.2">
      <c r="A16" s="176" t="s">
        <v>624</v>
      </c>
      <c r="B16" s="189" t="s">
        <v>2827</v>
      </c>
      <c r="C16" s="189" t="s">
        <v>2903</v>
      </c>
      <c r="D16" s="211" t="s">
        <v>3161</v>
      </c>
      <c r="E16" s="53" t="s">
        <v>24</v>
      </c>
      <c r="F16" s="133" t="s">
        <v>24</v>
      </c>
      <c r="G16" s="53"/>
      <c r="H16" s="211" t="s">
        <v>3258</v>
      </c>
      <c r="I16" s="211" t="s">
        <v>3358</v>
      </c>
      <c r="J16" s="211" t="s">
        <v>472</v>
      </c>
      <c r="K16" s="133"/>
      <c r="L16" s="189">
        <v>4</v>
      </c>
      <c r="M16" s="211" t="s">
        <v>3469</v>
      </c>
      <c r="N16" s="211" t="s">
        <v>3569</v>
      </c>
      <c r="O16" s="189" t="s">
        <v>292</v>
      </c>
      <c r="P16" s="189" t="s">
        <v>293</v>
      </c>
      <c r="Q16" s="211">
        <v>27015</v>
      </c>
      <c r="R16" s="189" t="s">
        <v>294</v>
      </c>
      <c r="S16" s="189" t="s">
        <v>3003</v>
      </c>
      <c r="T16" s="189" t="s">
        <v>3098</v>
      </c>
      <c r="U16" s="211">
        <v>9</v>
      </c>
      <c r="V16" s="211" t="s">
        <v>3654</v>
      </c>
      <c r="W16" s="211" t="s">
        <v>3661</v>
      </c>
      <c r="X16" s="133"/>
      <c r="Y16" s="211">
        <v>1</v>
      </c>
      <c r="Z16" s="133" t="s">
        <v>298</v>
      </c>
      <c r="AA16" s="189" t="s">
        <v>3142</v>
      </c>
      <c r="AB16" s="189" t="s">
        <v>410</v>
      </c>
      <c r="AC16" s="211" t="s">
        <v>3762</v>
      </c>
      <c r="AD16" s="164" t="s">
        <v>770</v>
      </c>
      <c r="AE16" s="133"/>
      <c r="AF16" s="134"/>
      <c r="AG16" s="134"/>
      <c r="AH16" s="134"/>
      <c r="AI16" s="134"/>
      <c r="AJ16" s="134"/>
      <c r="AK16" s="134"/>
      <c r="AL16" s="134"/>
      <c r="AM16" s="134"/>
      <c r="AN16" s="134"/>
      <c r="AO16" s="134"/>
      <c r="AP16" s="134"/>
      <c r="AQ16" s="134"/>
      <c r="AR16" s="134"/>
      <c r="AS16" s="134"/>
      <c r="AT16" s="134"/>
      <c r="AU16" s="134"/>
      <c r="AV16" s="134"/>
      <c r="AW16" s="133"/>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c r="BX16" s="134"/>
      <c r="BY16" s="134"/>
      <c r="BZ16" s="134"/>
      <c r="CA16" s="134"/>
      <c r="CB16" s="134"/>
      <c r="CC16" s="134"/>
      <c r="CD16" s="134"/>
      <c r="CE16" s="134"/>
      <c r="CF16" s="134"/>
      <c r="CG16" s="134"/>
      <c r="CH16" s="134"/>
      <c r="CI16" s="134"/>
      <c r="CJ16" s="134"/>
      <c r="CK16" s="134"/>
      <c r="CL16" s="134"/>
      <c r="CM16" s="134"/>
      <c r="CN16" s="134"/>
      <c r="CO16" s="134"/>
      <c r="CP16" s="48"/>
      <c r="CQ16" s="134"/>
      <c r="CR16" s="134"/>
      <c r="CS16" s="134"/>
      <c r="CT16" s="134"/>
      <c r="CU16" s="134"/>
      <c r="CV16" s="134"/>
      <c r="CW16" s="134"/>
      <c r="CX16" s="134"/>
      <c r="CY16" s="134"/>
      <c r="CZ16" s="134"/>
      <c r="DA16" s="134"/>
      <c r="DB16" s="134"/>
      <c r="DC16" s="134"/>
      <c r="DD16" s="137"/>
      <c r="DE16" s="134"/>
      <c r="DF16" s="134"/>
      <c r="DG16" s="87"/>
      <c r="DH16" s="137"/>
      <c r="DI16" s="137"/>
      <c r="DJ16" s="134"/>
      <c r="DK16" s="134"/>
      <c r="DL16" s="134"/>
      <c r="DM16" s="134"/>
      <c r="DN16" s="134"/>
      <c r="DO16" s="134"/>
      <c r="DP16" s="134"/>
      <c r="DQ16" s="137"/>
      <c r="DR16" s="134"/>
      <c r="DS16" s="137"/>
      <c r="DT16" s="134"/>
      <c r="DU16" s="134"/>
      <c r="DV16" s="134"/>
      <c r="DW16" s="134"/>
      <c r="DX16" s="134"/>
      <c r="DY16" s="134"/>
      <c r="DZ16" s="134"/>
      <c r="EA16" s="134"/>
      <c r="EB16" s="134"/>
      <c r="EC16" s="134"/>
      <c r="ED16" s="134"/>
      <c r="EE16" s="134"/>
      <c r="EF16" s="134"/>
      <c r="EG16" s="134"/>
      <c r="EH16" s="134"/>
      <c r="EI16" s="134"/>
      <c r="EJ16" s="134"/>
      <c r="EK16" s="137"/>
      <c r="EL16" s="137"/>
      <c r="EM16" s="48"/>
      <c r="EN16" s="55"/>
      <c r="EO16" s="48"/>
      <c r="EP16" s="48"/>
      <c r="EQ16" s="87"/>
      <c r="ER16" s="134"/>
      <c r="ES16" s="48"/>
      <c r="ET16" s="48"/>
      <c r="EU16" s="134"/>
      <c r="EV16" s="134"/>
      <c r="EW16" s="211" t="s">
        <v>3860</v>
      </c>
      <c r="EX16" s="211" t="s">
        <v>3937</v>
      </c>
      <c r="EY16" s="211" t="s">
        <v>3999</v>
      </c>
      <c r="EZ16" s="211" t="s">
        <v>4061</v>
      </c>
      <c r="FA16" s="211" t="s">
        <v>4123</v>
      </c>
      <c r="FB16" s="211" t="s">
        <v>4187</v>
      </c>
      <c r="FC16" s="211" t="s">
        <v>4248</v>
      </c>
      <c r="FD16" s="211" t="s">
        <v>4309</v>
      </c>
      <c r="FE16" s="211" t="s">
        <v>4370</v>
      </c>
      <c r="FF16" s="136"/>
      <c r="FG16" s="134"/>
      <c r="FH16" s="151"/>
      <c r="FI16" s="134"/>
      <c r="FJ16" s="146"/>
      <c r="FK16" s="134"/>
      <c r="FL16" s="146"/>
      <c r="FM16" s="134"/>
      <c r="FN16" s="146"/>
      <c r="FO16" s="134"/>
      <c r="FP16" s="146"/>
      <c r="FQ16" s="136"/>
      <c r="FR16" s="134"/>
      <c r="FS16" s="134"/>
      <c r="FT16" s="136"/>
      <c r="FU16" s="134"/>
      <c r="FV16" s="136"/>
      <c r="FW16" s="134"/>
      <c r="FX16" s="136"/>
      <c r="FY16" s="56"/>
      <c r="FZ16" s="56"/>
      <c r="GA16" s="56"/>
      <c r="GB16" s="56"/>
    </row>
    <row r="17" spans="1:288" ht="15" customHeight="1" x14ac:dyDescent="0.2">
      <c r="A17" s="148" t="s">
        <v>624</v>
      </c>
      <c r="B17" s="189" t="s">
        <v>2828</v>
      </c>
      <c r="C17" s="189" t="s">
        <v>2904</v>
      </c>
      <c r="D17" s="211" t="s">
        <v>3162</v>
      </c>
      <c r="E17" s="53" t="s">
        <v>698</v>
      </c>
      <c r="F17" s="139" t="s">
        <v>24</v>
      </c>
      <c r="G17" s="140"/>
      <c r="H17" s="211" t="s">
        <v>3259</v>
      </c>
      <c r="I17" s="211" t="s">
        <v>3359</v>
      </c>
      <c r="J17" s="211" t="s">
        <v>24</v>
      </c>
      <c r="K17" s="139"/>
      <c r="L17" s="189">
        <v>5</v>
      </c>
      <c r="M17" s="211" t="s">
        <v>3470</v>
      </c>
      <c r="N17" s="211" t="s">
        <v>3570</v>
      </c>
      <c r="O17" s="189" t="s">
        <v>292</v>
      </c>
      <c r="P17" s="189" t="s">
        <v>293</v>
      </c>
      <c r="Q17" s="211">
        <v>27016</v>
      </c>
      <c r="R17" s="189" t="s">
        <v>294</v>
      </c>
      <c r="S17" s="189" t="s">
        <v>3004</v>
      </c>
      <c r="T17" s="189" t="s">
        <v>3095</v>
      </c>
      <c r="U17" s="211">
        <v>12</v>
      </c>
      <c r="V17" s="211" t="s">
        <v>3654</v>
      </c>
      <c r="W17" s="211" t="s">
        <v>3662</v>
      </c>
      <c r="X17" s="139"/>
      <c r="Y17" s="211">
        <v>1</v>
      </c>
      <c r="Z17" s="139" t="s">
        <v>298</v>
      </c>
      <c r="AA17" s="189" t="s">
        <v>3142</v>
      </c>
      <c r="AB17" s="189" t="s">
        <v>3144</v>
      </c>
      <c r="AC17" s="211" t="s">
        <v>3763</v>
      </c>
      <c r="AD17" s="171" t="s">
        <v>770</v>
      </c>
      <c r="AE17" s="139"/>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9"/>
      <c r="BH17" s="138"/>
      <c r="BI17" s="139"/>
      <c r="BJ17" s="138"/>
      <c r="BK17" s="138"/>
      <c r="BL17" s="138"/>
      <c r="BM17" s="138"/>
      <c r="BN17" s="138"/>
      <c r="BO17" s="138"/>
      <c r="BP17" s="138"/>
      <c r="BQ17" s="138"/>
      <c r="BR17" s="138"/>
      <c r="BS17" s="138"/>
      <c r="BT17" s="138"/>
      <c r="BU17" s="138"/>
      <c r="BV17" s="138"/>
      <c r="BW17" s="138"/>
      <c r="BX17" s="138"/>
      <c r="BY17" s="138"/>
      <c r="BZ17" s="138"/>
      <c r="CA17" s="138"/>
      <c r="CB17" s="138"/>
      <c r="CC17" s="138"/>
      <c r="CD17" s="138"/>
      <c r="CE17" s="138"/>
      <c r="CF17" s="138"/>
      <c r="CG17" s="138"/>
      <c r="CH17" s="138"/>
      <c r="CI17" s="138"/>
      <c r="CJ17" s="138"/>
      <c r="CK17" s="138"/>
      <c r="CL17" s="138"/>
      <c r="CM17" s="138"/>
      <c r="CN17" s="138"/>
      <c r="CO17" s="138"/>
      <c r="CP17" s="141"/>
      <c r="CQ17" s="138"/>
      <c r="CR17" s="138"/>
      <c r="CS17" s="138"/>
      <c r="CT17" s="138"/>
      <c r="CU17" s="138"/>
      <c r="CV17" s="138"/>
      <c r="CW17" s="138"/>
      <c r="CX17" s="138"/>
      <c r="CY17" s="138"/>
      <c r="CZ17" s="138"/>
      <c r="DA17" s="138"/>
      <c r="DB17" s="138"/>
      <c r="DC17" s="138"/>
      <c r="DD17" s="156"/>
      <c r="DE17" s="138"/>
      <c r="DF17" s="138"/>
      <c r="DG17" s="157"/>
      <c r="DH17" s="156"/>
      <c r="DI17" s="156"/>
      <c r="DJ17" s="138"/>
      <c r="DK17" s="138"/>
      <c r="DL17" s="138"/>
      <c r="DM17" s="138"/>
      <c r="DN17" s="138"/>
      <c r="DO17" s="138"/>
      <c r="DP17" s="138"/>
      <c r="DQ17" s="156"/>
      <c r="DR17" s="138"/>
      <c r="DS17" s="156"/>
      <c r="DT17" s="138"/>
      <c r="DU17" s="138"/>
      <c r="DV17" s="138"/>
      <c r="DW17" s="138"/>
      <c r="DX17" s="138"/>
      <c r="DY17" s="138"/>
      <c r="DZ17" s="138"/>
      <c r="EA17" s="138"/>
      <c r="EB17" s="138"/>
      <c r="EC17" s="138"/>
      <c r="ED17" s="138"/>
      <c r="EE17" s="138"/>
      <c r="EF17" s="138"/>
      <c r="EG17" s="138"/>
      <c r="EH17" s="138"/>
      <c r="EI17" s="138"/>
      <c r="EJ17" s="138"/>
      <c r="EK17" s="156"/>
      <c r="EL17" s="156"/>
      <c r="EM17" s="141"/>
      <c r="EN17" s="147"/>
      <c r="EO17" s="141"/>
      <c r="EP17" s="141"/>
      <c r="EQ17" s="141"/>
      <c r="ER17" s="138"/>
      <c r="ES17" s="141"/>
      <c r="ET17" s="141"/>
      <c r="EU17" s="138"/>
      <c r="EV17" s="138"/>
      <c r="EW17" s="211" t="s">
        <v>3861</v>
      </c>
      <c r="EX17" s="211" t="s">
        <v>3938</v>
      </c>
      <c r="EY17" s="211" t="s">
        <v>4000</v>
      </c>
      <c r="EZ17" s="211" t="s">
        <v>4062</v>
      </c>
      <c r="FA17" s="211" t="s">
        <v>4124</v>
      </c>
      <c r="FB17" s="211" t="s">
        <v>4188</v>
      </c>
      <c r="FC17" s="211" t="s">
        <v>4249</v>
      </c>
      <c r="FD17" s="211" t="s">
        <v>4310</v>
      </c>
      <c r="FE17" s="211" t="s">
        <v>4371</v>
      </c>
      <c r="FF17" s="144"/>
      <c r="FG17" s="138"/>
      <c r="FH17" s="152"/>
      <c r="FI17" s="138"/>
      <c r="FJ17" s="150"/>
      <c r="FK17" s="138"/>
      <c r="FL17" s="150"/>
      <c r="FM17" s="138"/>
      <c r="FN17" s="150"/>
      <c r="FO17" s="138"/>
      <c r="FP17" s="150"/>
      <c r="FQ17" s="144"/>
      <c r="FR17" s="138"/>
      <c r="FS17" s="138"/>
      <c r="FT17" s="144"/>
      <c r="FU17" s="138"/>
      <c r="FV17" s="144"/>
      <c r="FW17" s="138"/>
      <c r="FX17" s="144"/>
      <c r="FY17" s="56"/>
      <c r="FZ17" s="56"/>
      <c r="GA17" s="56"/>
      <c r="GB17" s="56"/>
    </row>
    <row r="18" spans="1:288" ht="12.75" customHeight="1" x14ac:dyDescent="0.2">
      <c r="A18" s="158" t="s">
        <v>289</v>
      </c>
      <c r="B18" s="189" t="s">
        <v>2829</v>
      </c>
      <c r="C18" s="189" t="s">
        <v>2905</v>
      </c>
      <c r="D18" s="211" t="s">
        <v>3163</v>
      </c>
      <c r="E18" s="70" t="s">
        <v>24</v>
      </c>
      <c r="F18" s="53" t="s">
        <v>24</v>
      </c>
      <c r="G18" s="53"/>
      <c r="H18" s="211" t="s">
        <v>3260</v>
      </c>
      <c r="I18" s="211" t="s">
        <v>3360</v>
      </c>
      <c r="J18" s="211" t="s">
        <v>3443</v>
      </c>
      <c r="K18" s="53"/>
      <c r="L18" s="189">
        <v>5</v>
      </c>
      <c r="M18" s="211" t="s">
        <v>3471</v>
      </c>
      <c r="N18" s="211" t="s">
        <v>3571</v>
      </c>
      <c r="O18" s="189" t="s">
        <v>292</v>
      </c>
      <c r="P18" s="189" t="s">
        <v>293</v>
      </c>
      <c r="Q18" s="211">
        <v>27017</v>
      </c>
      <c r="R18" s="189" t="s">
        <v>294</v>
      </c>
      <c r="S18" s="189" t="s">
        <v>3005</v>
      </c>
      <c r="T18" s="189" t="s">
        <v>554</v>
      </c>
      <c r="U18" s="211">
        <v>13</v>
      </c>
      <c r="V18" s="211" t="s">
        <v>3654</v>
      </c>
      <c r="W18" s="211" t="s">
        <v>3663</v>
      </c>
      <c r="X18" s="53"/>
      <c r="Y18" s="211">
        <v>1</v>
      </c>
      <c r="Z18" s="53" t="s">
        <v>298</v>
      </c>
      <c r="AA18" s="189" t="s">
        <v>3142</v>
      </c>
      <c r="AB18" s="189" t="s">
        <v>336</v>
      </c>
      <c r="AC18" s="211" t="s">
        <v>3764</v>
      </c>
      <c r="AD18" s="161" t="b">
        <v>0</v>
      </c>
      <c r="AE18" s="53"/>
      <c r="AF18" s="48"/>
      <c r="AG18" s="48"/>
      <c r="AH18" s="48"/>
      <c r="AI18" s="48"/>
      <c r="AJ18" s="48"/>
      <c r="AK18" s="48"/>
      <c r="AL18" s="48"/>
      <c r="AM18" s="48"/>
      <c r="AN18" s="48"/>
      <c r="AO18" s="48"/>
      <c r="AP18" s="48"/>
      <c r="AQ18" s="48"/>
      <c r="AR18" s="48"/>
      <c r="AS18" s="48"/>
      <c r="AT18" s="48"/>
      <c r="AU18" s="48"/>
      <c r="AV18" s="48"/>
      <c r="AW18" s="48"/>
      <c r="AX18" s="48"/>
      <c r="AY18" s="48"/>
      <c r="AZ18" s="48"/>
      <c r="BA18" s="48"/>
      <c r="BB18" s="48">
        <v>3</v>
      </c>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t="s">
        <v>661</v>
      </c>
      <c r="CF18" s="48"/>
      <c r="CG18" s="48" t="s">
        <v>662</v>
      </c>
      <c r="CH18" s="48"/>
      <c r="CI18" s="48" t="s">
        <v>662</v>
      </c>
      <c r="CJ18" s="48"/>
      <c r="CK18" s="48" t="s">
        <v>316</v>
      </c>
      <c r="CL18" s="48"/>
      <c r="CM18" s="48" t="s">
        <v>316</v>
      </c>
      <c r="CN18" s="48"/>
      <c r="CO18" s="48" t="s">
        <v>317</v>
      </c>
      <c r="CP18" s="48"/>
      <c r="CQ18" s="48" t="s">
        <v>1083</v>
      </c>
      <c r="CR18" s="48"/>
      <c r="CS18" s="48" t="s">
        <v>656</v>
      </c>
      <c r="CT18" s="48"/>
      <c r="CU18" s="48" t="s">
        <v>656</v>
      </c>
      <c r="CV18" s="48"/>
      <c r="CW18" s="48" t="s">
        <v>798</v>
      </c>
      <c r="CX18" s="48"/>
      <c r="CY18" s="48" t="s">
        <v>1084</v>
      </c>
      <c r="CZ18" s="48"/>
      <c r="DA18" s="48" t="s">
        <v>320</v>
      </c>
      <c r="DB18" s="48"/>
      <c r="DC18" s="48" t="s">
        <v>320</v>
      </c>
      <c r="DD18" s="48"/>
      <c r="DE18" s="48" t="s">
        <v>321</v>
      </c>
      <c r="DF18" s="48"/>
      <c r="DG18" s="48"/>
      <c r="DH18" s="48" t="s">
        <v>321</v>
      </c>
      <c r="DI18" s="48"/>
      <c r="DJ18" s="48" t="s">
        <v>322</v>
      </c>
      <c r="DK18" s="48"/>
      <c r="DL18" s="48" t="s">
        <v>322</v>
      </c>
      <c r="DM18" s="48"/>
      <c r="DN18" s="48" t="s">
        <v>786</v>
      </c>
      <c r="DO18" s="48"/>
      <c r="DP18" s="48" t="s">
        <v>786</v>
      </c>
      <c r="DQ18" s="48"/>
      <c r="DR18" s="48" t="s">
        <v>1085</v>
      </c>
      <c r="DS18" s="48"/>
      <c r="DT18" s="48" t="s">
        <v>1085</v>
      </c>
      <c r="DU18" s="48"/>
      <c r="DV18" s="48" t="s">
        <v>499</v>
      </c>
      <c r="DW18" s="48"/>
      <c r="DX18" s="48" t="s">
        <v>499</v>
      </c>
      <c r="DY18" s="48"/>
      <c r="DZ18" s="48" t="s">
        <v>1086</v>
      </c>
      <c r="EA18" s="48"/>
      <c r="EB18" s="80" t="s">
        <v>1086</v>
      </c>
      <c r="EC18" s="48"/>
      <c r="ED18" s="48" t="s">
        <v>787</v>
      </c>
      <c r="EE18" s="48"/>
      <c r="EF18" s="48" t="s">
        <v>787</v>
      </c>
      <c r="EG18" s="48"/>
      <c r="EH18" s="48" t="s">
        <v>1087</v>
      </c>
      <c r="EI18" s="48"/>
      <c r="EJ18" s="48" t="s">
        <v>1087</v>
      </c>
      <c r="EK18" s="48"/>
      <c r="EL18" s="52"/>
      <c r="EM18" s="48"/>
      <c r="EN18" s="55"/>
      <c r="EO18" s="48"/>
      <c r="EP18" s="48"/>
      <c r="EQ18" s="48"/>
      <c r="ER18" s="48"/>
      <c r="ES18" s="48"/>
      <c r="ET18" s="134"/>
      <c r="EU18" s="134"/>
      <c r="EV18" s="134" t="s">
        <v>1088</v>
      </c>
      <c r="EW18" s="211" t="s">
        <v>3862</v>
      </c>
      <c r="EX18" s="211" t="s">
        <v>3939</v>
      </c>
      <c r="EY18" s="211" t="s">
        <v>4001</v>
      </c>
      <c r="EZ18" s="211" t="s">
        <v>4063</v>
      </c>
      <c r="FA18" s="211" t="s">
        <v>4125</v>
      </c>
      <c r="FB18" s="211" t="s">
        <v>4189</v>
      </c>
      <c r="FC18" s="211" t="s">
        <v>4250</v>
      </c>
      <c r="FD18" s="211" t="s">
        <v>4311</v>
      </c>
      <c r="FE18" s="211" t="s">
        <v>4372</v>
      </c>
      <c r="FF18" s="134"/>
      <c r="FG18" s="146"/>
      <c r="FH18" s="134"/>
      <c r="FI18" s="151"/>
      <c r="FJ18" s="146"/>
      <c r="FK18" s="134"/>
      <c r="FL18" s="146"/>
      <c r="FM18" s="134"/>
      <c r="FN18" s="146"/>
      <c r="FO18" s="134"/>
      <c r="FP18" s="146"/>
      <c r="FQ18" s="136"/>
      <c r="FR18" s="134"/>
      <c r="FS18" s="134"/>
      <c r="FT18" s="136"/>
      <c r="FU18" s="134"/>
      <c r="FV18" s="136"/>
      <c r="FW18" s="134"/>
      <c r="FX18" s="136"/>
      <c r="FY18" s="56"/>
      <c r="FZ18" s="56"/>
      <c r="GA18" s="56"/>
      <c r="GB18" s="56"/>
    </row>
    <row r="19" spans="1:288" ht="12.75" customHeight="1" x14ac:dyDescent="0.2">
      <c r="A19" s="180" t="s">
        <v>624</v>
      </c>
      <c r="B19" s="189" t="s">
        <v>2824</v>
      </c>
      <c r="C19" s="189" t="s">
        <v>2906</v>
      </c>
      <c r="D19" s="211" t="s">
        <v>3164</v>
      </c>
      <c r="E19" s="53" t="s">
        <v>472</v>
      </c>
      <c r="F19" s="53" t="s">
        <v>24</v>
      </c>
      <c r="G19" s="53"/>
      <c r="H19" s="211" t="s">
        <v>3261</v>
      </c>
      <c r="I19" s="211" t="s">
        <v>3361</v>
      </c>
      <c r="J19" s="211" t="s">
        <v>870</v>
      </c>
      <c r="K19" s="53"/>
      <c r="L19" s="189">
        <v>1</v>
      </c>
      <c r="M19" s="211" t="s">
        <v>3472</v>
      </c>
      <c r="N19" s="211" t="s">
        <v>3572</v>
      </c>
      <c r="O19" s="189" t="s">
        <v>292</v>
      </c>
      <c r="P19" s="189" t="s">
        <v>293</v>
      </c>
      <c r="Q19" s="211">
        <v>27018</v>
      </c>
      <c r="R19" s="189" t="s">
        <v>294</v>
      </c>
      <c r="S19" s="189" t="s">
        <v>3006</v>
      </c>
      <c r="T19" s="189" t="s">
        <v>3099</v>
      </c>
      <c r="U19" s="211">
        <v>7</v>
      </c>
      <c r="V19" s="211" t="s">
        <v>3654</v>
      </c>
      <c r="W19" s="211" t="s">
        <v>3664</v>
      </c>
      <c r="X19" s="53"/>
      <c r="Y19" s="211">
        <v>1</v>
      </c>
      <c r="Z19" s="89" t="s">
        <v>298</v>
      </c>
      <c r="AA19" s="189" t="s">
        <v>3143</v>
      </c>
      <c r="AB19" s="189" t="s">
        <v>410</v>
      </c>
      <c r="AC19" s="211" t="s">
        <v>3765</v>
      </c>
      <c r="AD19" s="161" t="b">
        <v>1</v>
      </c>
      <c r="AE19" s="48"/>
      <c r="AF19" s="53" t="s">
        <v>1089</v>
      </c>
      <c r="AG19" s="48" t="s">
        <v>746</v>
      </c>
      <c r="AH19" s="48"/>
      <c r="AI19" s="48" t="s">
        <v>746</v>
      </c>
      <c r="AJ19" s="48"/>
      <c r="AK19" s="48" t="s">
        <v>1090</v>
      </c>
      <c r="AL19" s="48"/>
      <c r="AM19" s="48" t="s">
        <v>890</v>
      </c>
      <c r="AN19" s="48"/>
      <c r="AO19" s="48" t="s">
        <v>890</v>
      </c>
      <c r="AP19" s="48"/>
      <c r="AQ19" s="48" t="s">
        <v>715</v>
      </c>
      <c r="AR19" s="48"/>
      <c r="AS19" s="48" t="s">
        <v>715</v>
      </c>
      <c r="AT19" s="48"/>
      <c r="AU19" s="48" t="s">
        <v>1091</v>
      </c>
      <c r="AV19" s="48"/>
      <c r="AW19" s="48" t="s">
        <v>1092</v>
      </c>
      <c r="AX19" s="48"/>
      <c r="AY19" s="48" t="s">
        <v>869</v>
      </c>
      <c r="AZ19" s="48"/>
      <c r="BA19" s="48"/>
      <c r="BB19" s="48"/>
      <c r="BC19" s="48" t="s">
        <v>923</v>
      </c>
      <c r="BD19" s="48"/>
      <c r="BE19" s="153" t="s">
        <v>923</v>
      </c>
      <c r="BF19" s="48"/>
      <c r="BG19" s="48" t="s">
        <v>1093</v>
      </c>
      <c r="BH19" s="48"/>
      <c r="BI19" s="48" t="s">
        <v>924</v>
      </c>
      <c r="BJ19" s="48"/>
      <c r="BK19" s="48" t="s">
        <v>924</v>
      </c>
      <c r="BL19" s="48"/>
      <c r="BM19" s="48" t="s">
        <v>925</v>
      </c>
      <c r="BN19" s="48"/>
      <c r="BO19" s="48" t="s">
        <v>925</v>
      </c>
      <c r="BP19" s="48"/>
      <c r="BQ19" s="48" t="s">
        <v>1094</v>
      </c>
      <c r="BR19" s="48" t="s">
        <v>872</v>
      </c>
      <c r="BS19" s="48"/>
      <c r="BT19" s="48" t="s">
        <v>872</v>
      </c>
      <c r="BU19" s="48"/>
      <c r="BV19" s="48" t="s">
        <v>1095</v>
      </c>
      <c r="BW19" s="48"/>
      <c r="BX19" s="48" t="s">
        <v>697</v>
      </c>
      <c r="BY19" s="48"/>
      <c r="BZ19" s="48" t="s">
        <v>900</v>
      </c>
      <c r="CA19" s="48"/>
      <c r="CB19" s="48" t="s">
        <v>900</v>
      </c>
      <c r="CC19" s="48"/>
      <c r="CD19" s="48" t="s">
        <v>852</v>
      </c>
      <c r="CE19" s="48"/>
      <c r="CF19" s="48" t="s">
        <v>852</v>
      </c>
      <c r="CG19" s="48"/>
      <c r="CH19" s="48" t="s">
        <v>913</v>
      </c>
      <c r="CI19" s="48"/>
      <c r="CJ19" s="48" t="s">
        <v>913</v>
      </c>
      <c r="CK19" s="48"/>
      <c r="CL19" s="48" t="s">
        <v>873</v>
      </c>
      <c r="CM19" s="48"/>
      <c r="CN19" s="48" t="s">
        <v>873</v>
      </c>
      <c r="CO19" s="48"/>
      <c r="CP19" s="48" t="s">
        <v>874</v>
      </c>
      <c r="CQ19" s="48"/>
      <c r="CR19" s="48" t="s">
        <v>874</v>
      </c>
      <c r="CS19" s="48"/>
      <c r="CT19" s="48" t="s">
        <v>727</v>
      </c>
      <c r="CU19" s="48"/>
      <c r="CV19" s="48" t="s">
        <v>727</v>
      </c>
      <c r="CW19" s="48"/>
      <c r="CX19" s="48" t="s">
        <v>728</v>
      </c>
      <c r="CY19" s="48"/>
      <c r="CZ19" s="48" t="s">
        <v>728</v>
      </c>
      <c r="DA19" s="48"/>
      <c r="DB19" s="48" t="s">
        <v>883</v>
      </c>
      <c r="DC19" s="48"/>
      <c r="DD19" s="48" t="s">
        <v>883</v>
      </c>
      <c r="DE19" s="48"/>
      <c r="DF19" s="48" t="s">
        <v>986</v>
      </c>
      <c r="DG19" s="48"/>
      <c r="DH19" s="48"/>
      <c r="DI19" s="48" t="s">
        <v>986</v>
      </c>
      <c r="DJ19" s="48"/>
      <c r="DK19" s="103" t="s">
        <v>729</v>
      </c>
      <c r="DL19" s="48"/>
      <c r="DM19" s="103" t="s">
        <v>729</v>
      </c>
      <c r="DN19" s="103"/>
      <c r="DO19" s="103" t="s">
        <v>730</v>
      </c>
      <c r="DP19" s="48"/>
      <c r="DQ19" s="103" t="s">
        <v>730</v>
      </c>
      <c r="DR19" s="48"/>
      <c r="DS19" s="48" t="s">
        <v>902</v>
      </c>
      <c r="DT19" s="48"/>
      <c r="DU19" s="48" t="s">
        <v>1096</v>
      </c>
      <c r="DV19" s="48"/>
      <c r="DW19" s="48" t="s">
        <v>897</v>
      </c>
      <c r="DX19" s="48"/>
      <c r="DY19" s="48" t="s">
        <v>897</v>
      </c>
      <c r="DZ19" s="48"/>
      <c r="EA19" s="103" t="s">
        <v>886</v>
      </c>
      <c r="EB19" s="48"/>
      <c r="EC19" s="103" t="s">
        <v>886</v>
      </c>
      <c r="ED19" s="48"/>
      <c r="EE19" s="48" t="s">
        <v>918</v>
      </c>
      <c r="EF19" s="48"/>
      <c r="EG19" s="48" t="s">
        <v>918</v>
      </c>
      <c r="EH19" s="48"/>
      <c r="EI19" s="48" t="s">
        <v>887</v>
      </c>
      <c r="EJ19" s="48"/>
      <c r="EK19" s="48" t="s">
        <v>887</v>
      </c>
      <c r="EL19" s="52"/>
      <c r="EM19" s="13" t="s">
        <v>875</v>
      </c>
      <c r="EN19" s="55"/>
      <c r="EO19" s="13" t="s">
        <v>875</v>
      </c>
      <c r="EP19" s="48"/>
      <c r="EQ19" s="48" t="s">
        <v>905</v>
      </c>
      <c r="ER19" s="48"/>
      <c r="ES19" s="48" t="s">
        <v>905</v>
      </c>
      <c r="ET19" s="134"/>
      <c r="EU19" s="134" t="s">
        <v>906</v>
      </c>
      <c r="EV19" s="134"/>
      <c r="EW19" s="211" t="s">
        <v>3863</v>
      </c>
      <c r="EX19" s="211" t="s">
        <v>3940</v>
      </c>
      <c r="EY19" s="211" t="s">
        <v>4002</v>
      </c>
      <c r="EZ19" s="211" t="s">
        <v>4064</v>
      </c>
      <c r="FA19" s="211" t="s">
        <v>4126</v>
      </c>
      <c r="FB19" s="211" t="s">
        <v>4190</v>
      </c>
      <c r="FC19" s="211" t="s">
        <v>4251</v>
      </c>
      <c r="FD19" s="211" t="s">
        <v>4312</v>
      </c>
      <c r="FE19" s="211" t="s">
        <v>4373</v>
      </c>
      <c r="FF19" s="134"/>
      <c r="FG19" s="146"/>
      <c r="FH19" s="134"/>
      <c r="FI19" s="151"/>
      <c r="FJ19" s="146"/>
      <c r="FK19" s="134"/>
      <c r="FL19" s="146"/>
      <c r="FM19" s="134"/>
      <c r="FN19" s="146"/>
      <c r="FO19" s="134"/>
      <c r="FP19" s="146"/>
      <c r="FQ19" s="136"/>
      <c r="FR19" s="134"/>
      <c r="FS19" s="134"/>
      <c r="FT19" s="136"/>
      <c r="FU19" s="134"/>
      <c r="FV19" s="136"/>
      <c r="FW19" s="134"/>
      <c r="FX19" s="136"/>
      <c r="FY19" s="56"/>
      <c r="FZ19" s="56"/>
      <c r="GA19" s="56"/>
      <c r="GB19" s="56"/>
    </row>
    <row r="20" spans="1:288" ht="12.75" customHeight="1" x14ac:dyDescent="0.2">
      <c r="A20" s="182" t="s">
        <v>624</v>
      </c>
      <c r="B20" s="189" t="s">
        <v>2830</v>
      </c>
      <c r="C20" s="189" t="s">
        <v>2907</v>
      </c>
      <c r="D20" s="211" t="s">
        <v>3165</v>
      </c>
      <c r="E20" s="53" t="s">
        <v>24</v>
      </c>
      <c r="F20" s="53" t="s">
        <v>24</v>
      </c>
      <c r="G20" s="53"/>
      <c r="H20" s="211" t="s">
        <v>3262</v>
      </c>
      <c r="I20" s="211" t="s">
        <v>3362</v>
      </c>
      <c r="J20" s="211" t="s">
        <v>24</v>
      </c>
      <c r="K20" s="53"/>
      <c r="L20" s="189">
        <v>3</v>
      </c>
      <c r="M20" s="211" t="s">
        <v>3473</v>
      </c>
      <c r="N20" s="211" t="s">
        <v>3573</v>
      </c>
      <c r="O20" s="189" t="s">
        <v>292</v>
      </c>
      <c r="P20" s="189" t="s">
        <v>293</v>
      </c>
      <c r="Q20" s="211">
        <v>27019</v>
      </c>
      <c r="R20" s="189" t="s">
        <v>294</v>
      </c>
      <c r="S20" s="189" t="s">
        <v>3007</v>
      </c>
      <c r="T20" s="189" t="s">
        <v>3100</v>
      </c>
      <c r="U20" s="211">
        <v>10</v>
      </c>
      <c r="V20" s="211" t="s">
        <v>3654</v>
      </c>
      <c r="W20" s="211" t="s">
        <v>3665</v>
      </c>
      <c r="X20" s="53"/>
      <c r="Y20" s="211">
        <v>1</v>
      </c>
      <c r="Z20" s="53" t="s">
        <v>298</v>
      </c>
      <c r="AA20" s="189" t="s">
        <v>3142</v>
      </c>
      <c r="AB20" s="189" t="s">
        <v>3144</v>
      </c>
      <c r="AC20" s="211" t="s">
        <v>3766</v>
      </c>
      <c r="AD20" s="161" t="b">
        <v>1</v>
      </c>
      <c r="AE20" s="48" t="s">
        <v>696</v>
      </c>
      <c r="AF20" s="48"/>
      <c r="AG20" s="48" t="s">
        <v>681</v>
      </c>
      <c r="AH20" s="48"/>
      <c r="AI20" s="48" t="s">
        <v>1098</v>
      </c>
      <c r="AJ20" s="48"/>
      <c r="AK20" s="48" t="s">
        <v>1099</v>
      </c>
      <c r="AL20" s="48"/>
      <c r="AM20" s="48" t="s">
        <v>1099</v>
      </c>
      <c r="AN20" s="48"/>
      <c r="AO20" s="48" t="s">
        <v>1100</v>
      </c>
      <c r="AP20" s="48"/>
      <c r="AQ20" s="48" t="s">
        <v>1100</v>
      </c>
      <c r="AR20" s="48"/>
      <c r="AS20" s="48" t="s">
        <v>1101</v>
      </c>
      <c r="AT20" s="48"/>
      <c r="AU20" s="48" t="s">
        <v>1101</v>
      </c>
      <c r="AV20" s="48"/>
      <c r="AW20" s="48" t="s">
        <v>1102</v>
      </c>
      <c r="AX20" s="48"/>
      <c r="AY20" s="48" t="s">
        <v>1102</v>
      </c>
      <c r="AZ20" s="48"/>
      <c r="BA20" s="48"/>
      <c r="BB20" s="48"/>
      <c r="BC20" s="48" t="s">
        <v>957</v>
      </c>
      <c r="BD20" s="48"/>
      <c r="BE20" s="48" t="s">
        <v>957</v>
      </c>
      <c r="BF20" s="48"/>
      <c r="BG20" s="48" t="s">
        <v>934</v>
      </c>
      <c r="BH20" s="48"/>
      <c r="BI20" s="48" t="s">
        <v>935</v>
      </c>
      <c r="BJ20" s="48"/>
      <c r="BK20" s="48" t="s">
        <v>954</v>
      </c>
      <c r="BL20" s="48"/>
      <c r="BM20" s="48" t="s">
        <v>954</v>
      </c>
      <c r="BN20" s="48"/>
      <c r="BO20" s="48" t="s">
        <v>945</v>
      </c>
      <c r="BP20" s="48"/>
      <c r="BQ20" s="48" t="s">
        <v>945</v>
      </c>
      <c r="BR20" s="48" t="s">
        <v>1103</v>
      </c>
      <c r="BS20" s="48"/>
      <c r="BT20" s="48" t="s">
        <v>1103</v>
      </c>
      <c r="BU20" s="48"/>
      <c r="BV20" s="53" t="s">
        <v>896</v>
      </c>
      <c r="BW20" s="48"/>
      <c r="BX20" s="53" t="s">
        <v>896</v>
      </c>
      <c r="BY20" s="53"/>
      <c r="BZ20" s="48" t="s">
        <v>452</v>
      </c>
      <c r="CA20" s="48"/>
      <c r="CB20" s="48" t="s">
        <v>452</v>
      </c>
      <c r="CC20" s="48"/>
      <c r="CD20" s="48" t="s">
        <v>852</v>
      </c>
      <c r="CE20" s="48"/>
      <c r="CF20" s="48" t="s">
        <v>852</v>
      </c>
      <c r="CG20" s="48"/>
      <c r="CH20" s="48" t="s">
        <v>941</v>
      </c>
      <c r="CI20" s="48"/>
      <c r="CJ20" s="48" t="s">
        <v>926</v>
      </c>
      <c r="CK20" s="48"/>
      <c r="CL20" s="48" t="s">
        <v>926</v>
      </c>
      <c r="CM20" s="48"/>
      <c r="CN20" s="48" t="s">
        <v>931</v>
      </c>
      <c r="CO20" s="48"/>
      <c r="CP20" s="48" t="s">
        <v>931</v>
      </c>
      <c r="CQ20" s="48"/>
      <c r="CR20" s="80" t="s">
        <v>778</v>
      </c>
      <c r="CS20" s="48"/>
      <c r="CT20" s="80" t="s">
        <v>778</v>
      </c>
      <c r="CU20" s="48"/>
      <c r="CV20" s="48" t="s">
        <v>716</v>
      </c>
      <c r="CW20" s="48"/>
      <c r="CX20" s="48" t="s">
        <v>716</v>
      </c>
      <c r="CY20" s="48"/>
      <c r="CZ20" s="48" t="s">
        <v>996</v>
      </c>
      <c r="DA20" s="48"/>
      <c r="DB20" s="48" t="s">
        <v>996</v>
      </c>
      <c r="DC20" s="48"/>
      <c r="DD20" s="48" t="s">
        <v>984</v>
      </c>
      <c r="DE20" s="48"/>
      <c r="DF20" s="48" t="s">
        <v>984</v>
      </c>
      <c r="DG20" s="48"/>
      <c r="DH20" s="48"/>
      <c r="DI20" s="48" t="s">
        <v>779</v>
      </c>
      <c r="DJ20" s="48"/>
      <c r="DK20" s="48" t="s">
        <v>779</v>
      </c>
      <c r="DL20" s="48"/>
      <c r="DM20" s="48" t="s">
        <v>717</v>
      </c>
      <c r="DN20" s="48"/>
      <c r="DO20" s="48" t="s">
        <v>717</v>
      </c>
      <c r="DP20" s="48"/>
      <c r="DQ20" s="48" t="s">
        <v>718</v>
      </c>
      <c r="DR20" s="48"/>
      <c r="DS20" s="48" t="s">
        <v>718</v>
      </c>
      <c r="DT20" s="48"/>
      <c r="DU20" s="48" t="s">
        <v>780</v>
      </c>
      <c r="DV20" s="48"/>
      <c r="DW20" s="48" t="s">
        <v>780</v>
      </c>
      <c r="DX20" s="48"/>
      <c r="DY20" s="48" t="s">
        <v>781</v>
      </c>
      <c r="DZ20" s="48"/>
      <c r="EA20" s="48" t="s">
        <v>781</v>
      </c>
      <c r="EB20" s="48"/>
      <c r="EC20" s="48" t="s">
        <v>891</v>
      </c>
      <c r="ED20" s="48"/>
      <c r="EE20" s="48" t="s">
        <v>891</v>
      </c>
      <c r="EF20" s="48"/>
      <c r="EG20" s="48" t="s">
        <v>799</v>
      </c>
      <c r="EH20" s="48"/>
      <c r="EI20" s="48" t="s">
        <v>799</v>
      </c>
      <c r="EJ20" s="48"/>
      <c r="EK20" s="48" t="s">
        <v>853</v>
      </c>
      <c r="EL20" s="52"/>
      <c r="EM20" s="48" t="s">
        <v>853</v>
      </c>
      <c r="EN20" s="55"/>
      <c r="EO20" s="48" t="s">
        <v>854</v>
      </c>
      <c r="EP20" s="48"/>
      <c r="EQ20" s="48" t="s">
        <v>854</v>
      </c>
      <c r="ER20" s="48"/>
      <c r="ES20" s="48" t="s">
        <v>974</v>
      </c>
      <c r="ET20" s="134"/>
      <c r="EU20" s="48" t="s">
        <v>974</v>
      </c>
      <c r="EV20" s="134"/>
      <c r="EW20" s="211" t="s">
        <v>3864</v>
      </c>
      <c r="EX20" s="211" t="s">
        <v>3941</v>
      </c>
      <c r="EY20" s="211" t="s">
        <v>4003</v>
      </c>
      <c r="EZ20" s="211" t="s">
        <v>4065</v>
      </c>
      <c r="FA20" s="211" t="s">
        <v>4127</v>
      </c>
      <c r="FB20" s="211" t="s">
        <v>4191</v>
      </c>
      <c r="FC20" s="211" t="s">
        <v>4252</v>
      </c>
      <c r="FD20" s="211" t="s">
        <v>4313</v>
      </c>
      <c r="FE20" s="211" t="s">
        <v>4374</v>
      </c>
      <c r="FF20" s="134"/>
      <c r="FG20" s="167"/>
      <c r="FH20" s="135"/>
      <c r="FI20" s="151"/>
      <c r="FJ20" s="146"/>
      <c r="FK20" s="134"/>
      <c r="FL20" s="146"/>
      <c r="FM20" s="134"/>
      <c r="FN20" s="146"/>
      <c r="FO20" s="134"/>
      <c r="FP20" s="146"/>
      <c r="FQ20" s="136"/>
      <c r="FR20" s="134"/>
      <c r="FS20" s="134"/>
      <c r="FT20" s="136"/>
      <c r="FU20" s="134"/>
      <c r="FV20" s="136"/>
      <c r="FW20" s="134"/>
      <c r="FX20" s="136"/>
      <c r="FY20" s="56"/>
      <c r="FZ20" s="56"/>
      <c r="GA20" s="56"/>
      <c r="GB20" s="56"/>
    </row>
    <row r="21" spans="1:288" ht="12.75" customHeight="1" x14ac:dyDescent="0.2">
      <c r="A21" s="155" t="s">
        <v>289</v>
      </c>
      <c r="B21" s="189" t="s">
        <v>2831</v>
      </c>
      <c r="C21" s="189" t="s">
        <v>2908</v>
      </c>
      <c r="D21" s="211" t="s">
        <v>3166</v>
      </c>
      <c r="E21" s="53" t="s">
        <v>24</v>
      </c>
      <c r="F21" s="139" t="s">
        <v>24</v>
      </c>
      <c r="G21" s="140"/>
      <c r="H21" s="211" t="s">
        <v>3263</v>
      </c>
      <c r="I21" s="211" t="s">
        <v>3363</v>
      </c>
      <c r="J21" s="211" t="s">
        <v>472</v>
      </c>
      <c r="K21" s="139"/>
      <c r="L21" s="189">
        <v>4</v>
      </c>
      <c r="M21" s="211" t="s">
        <v>3474</v>
      </c>
      <c r="N21" s="211" t="s">
        <v>3574</v>
      </c>
      <c r="O21" s="189" t="s">
        <v>292</v>
      </c>
      <c r="P21" s="189" t="s">
        <v>293</v>
      </c>
      <c r="Q21" s="211">
        <v>27020</v>
      </c>
      <c r="R21" s="189" t="s">
        <v>294</v>
      </c>
      <c r="S21" s="189" t="s">
        <v>3008</v>
      </c>
      <c r="T21" s="189" t="s">
        <v>3094</v>
      </c>
      <c r="U21" s="211">
        <v>6</v>
      </c>
      <c r="V21" s="211" t="s">
        <v>3654</v>
      </c>
      <c r="W21" s="211" t="s">
        <v>3666</v>
      </c>
      <c r="X21" s="139"/>
      <c r="Y21" s="211">
        <v>2</v>
      </c>
      <c r="Z21" s="139" t="s">
        <v>298</v>
      </c>
      <c r="AA21" s="189" t="s">
        <v>299</v>
      </c>
      <c r="AB21" s="189" t="s">
        <v>3146</v>
      </c>
      <c r="AC21" s="211" t="s">
        <v>3767</v>
      </c>
      <c r="AD21" s="171" t="s">
        <v>770</v>
      </c>
      <c r="AE21" s="139"/>
      <c r="AF21" s="138"/>
      <c r="AG21" s="138"/>
      <c r="AH21" s="138"/>
      <c r="AI21" s="138"/>
      <c r="AJ21" s="138"/>
      <c r="AK21" s="138"/>
      <c r="AL21" s="138"/>
      <c r="AM21" s="138"/>
      <c r="AN21" s="138"/>
      <c r="AO21" s="138"/>
      <c r="AP21" s="138"/>
      <c r="AQ21" s="138"/>
      <c r="AR21" s="138"/>
      <c r="AS21" s="138"/>
      <c r="AT21" s="138"/>
      <c r="AU21" s="139"/>
      <c r="AV21" s="138"/>
      <c r="AW21" s="139"/>
      <c r="AX21" s="138"/>
      <c r="AY21" s="138"/>
      <c r="AZ21" s="138"/>
      <c r="BA21" s="138"/>
      <c r="BB21" s="138"/>
      <c r="BC21" s="138"/>
      <c r="BD21" s="138"/>
      <c r="BE21" s="138"/>
      <c r="BF21" s="138"/>
      <c r="BG21" s="138"/>
      <c r="BH21" s="138"/>
      <c r="BI21" s="139"/>
      <c r="BJ21" s="138"/>
      <c r="BK21" s="139"/>
      <c r="BL21" s="139"/>
      <c r="BM21" s="138"/>
      <c r="BN21" s="138"/>
      <c r="BO21" s="138"/>
      <c r="BP21" s="138"/>
      <c r="BQ21" s="138"/>
      <c r="BR21" s="138"/>
      <c r="BS21" s="138"/>
      <c r="BT21" s="138"/>
      <c r="BU21" s="138"/>
      <c r="BV21" s="138"/>
      <c r="BW21" s="138"/>
      <c r="BX21" s="138"/>
      <c r="BY21" s="138"/>
      <c r="BZ21" s="138"/>
      <c r="CA21" s="138"/>
      <c r="CB21" s="138"/>
      <c r="CC21" s="138"/>
      <c r="CD21" s="138"/>
      <c r="CE21" s="138"/>
      <c r="CF21" s="138"/>
      <c r="CG21" s="138"/>
      <c r="CH21" s="138"/>
      <c r="CI21" s="138"/>
      <c r="CJ21" s="138"/>
      <c r="CK21" s="138"/>
      <c r="CL21" s="138"/>
      <c r="CM21" s="138"/>
      <c r="CN21" s="138"/>
      <c r="CO21" s="138"/>
      <c r="CP21" s="141"/>
      <c r="CQ21" s="138"/>
      <c r="CR21" s="138"/>
      <c r="CS21" s="138"/>
      <c r="CT21" s="138"/>
      <c r="CU21" s="138"/>
      <c r="CV21" s="138"/>
      <c r="CW21" s="138"/>
      <c r="CX21" s="138"/>
      <c r="CY21" s="138"/>
      <c r="CZ21" s="138"/>
      <c r="DA21" s="138"/>
      <c r="DB21" s="138"/>
      <c r="DC21" s="138"/>
      <c r="DD21" s="138"/>
      <c r="DE21" s="138"/>
      <c r="DF21" s="138"/>
      <c r="DG21" s="141"/>
      <c r="DH21" s="138"/>
      <c r="DI21" s="138"/>
      <c r="DJ21" s="138"/>
      <c r="DK21" s="138"/>
      <c r="DL21" s="138"/>
      <c r="DM21" s="138"/>
      <c r="DN21" s="138"/>
      <c r="DO21" s="138"/>
      <c r="DP21" s="138"/>
      <c r="DQ21" s="138"/>
      <c r="DR21" s="138"/>
      <c r="DS21" s="138"/>
      <c r="DT21" s="138"/>
      <c r="DU21" s="138"/>
      <c r="DV21" s="138"/>
      <c r="DW21" s="138"/>
      <c r="DX21" s="138"/>
      <c r="DY21" s="138"/>
      <c r="DZ21" s="138"/>
      <c r="EA21" s="138"/>
      <c r="EB21" s="138"/>
      <c r="EC21" s="138"/>
      <c r="ED21" s="138"/>
      <c r="EE21" s="138"/>
      <c r="EF21" s="138"/>
      <c r="EG21" s="138"/>
      <c r="EH21" s="138"/>
      <c r="EI21" s="138"/>
      <c r="EJ21" s="138"/>
      <c r="EK21" s="138"/>
      <c r="EL21" s="144"/>
      <c r="EM21" s="141"/>
      <c r="EN21" s="147"/>
      <c r="EO21" s="141"/>
      <c r="EP21" s="141"/>
      <c r="EQ21" s="141"/>
      <c r="ER21" s="138"/>
      <c r="ES21" s="141"/>
      <c r="ET21" s="141"/>
      <c r="EU21" s="138"/>
      <c r="EV21" s="138"/>
      <c r="EW21" s="211" t="s">
        <v>3865</v>
      </c>
      <c r="EX21" s="211" t="s">
        <v>3927</v>
      </c>
      <c r="EY21" s="211" t="s">
        <v>3989</v>
      </c>
      <c r="EZ21" s="211" t="s">
        <v>4051</v>
      </c>
      <c r="FA21" s="211" t="s">
        <v>4113</v>
      </c>
      <c r="FB21" s="211" t="s">
        <v>4177</v>
      </c>
      <c r="FC21" s="211" t="s">
        <v>4238</v>
      </c>
      <c r="FD21" s="211" t="s">
        <v>4299</v>
      </c>
      <c r="FE21" s="211" t="s">
        <v>4360</v>
      </c>
      <c r="FF21" s="138"/>
      <c r="FG21" s="150"/>
      <c r="FH21" s="138"/>
      <c r="FI21" s="152"/>
      <c r="FJ21" s="150"/>
      <c r="FK21" s="138"/>
      <c r="FL21" s="150"/>
      <c r="FM21" s="138"/>
      <c r="FN21" s="150"/>
      <c r="FO21" s="138"/>
      <c r="FP21" s="150"/>
      <c r="FQ21" s="144"/>
      <c r="FR21" s="179"/>
      <c r="FS21" s="138"/>
      <c r="FT21" s="144"/>
      <c r="FU21" s="138"/>
      <c r="FV21" s="144"/>
      <c r="FW21" s="138"/>
      <c r="FX21" s="144"/>
      <c r="FY21" s="56"/>
      <c r="FZ21" s="56"/>
      <c r="GA21" s="56"/>
      <c r="GB21" s="56"/>
    </row>
    <row r="22" spans="1:288" ht="12.75" customHeight="1" x14ac:dyDescent="0.2">
      <c r="A22" s="155" t="s">
        <v>289</v>
      </c>
      <c r="B22" s="189" t="s">
        <v>2832</v>
      </c>
      <c r="C22" s="189" t="s">
        <v>2909</v>
      </c>
      <c r="D22" s="211" t="s">
        <v>3167</v>
      </c>
      <c r="E22" s="53" t="s">
        <v>698</v>
      </c>
      <c r="F22" s="139" t="s">
        <v>24</v>
      </c>
      <c r="G22" s="140"/>
      <c r="H22" s="211" t="s">
        <v>3264</v>
      </c>
      <c r="I22" s="211" t="s">
        <v>3364</v>
      </c>
      <c r="J22" s="211" t="s">
        <v>833</v>
      </c>
      <c r="K22" s="139"/>
      <c r="L22" s="189">
        <v>1</v>
      </c>
      <c r="M22" s="211" t="s">
        <v>3475</v>
      </c>
      <c r="N22" s="211" t="s">
        <v>3575</v>
      </c>
      <c r="O22" s="189" t="s">
        <v>292</v>
      </c>
      <c r="P22" s="189" t="s">
        <v>293</v>
      </c>
      <c r="Q22" s="211">
        <v>27021</v>
      </c>
      <c r="R22" s="189" t="s">
        <v>294</v>
      </c>
      <c r="S22" s="189" t="s">
        <v>3009</v>
      </c>
      <c r="T22" s="189" t="s">
        <v>3101</v>
      </c>
      <c r="U22" s="211">
        <v>14</v>
      </c>
      <c r="V22" s="211" t="s">
        <v>3655</v>
      </c>
      <c r="W22" s="211" t="s">
        <v>3667</v>
      </c>
      <c r="X22" s="139"/>
      <c r="Y22" s="211">
        <v>1</v>
      </c>
      <c r="Z22" s="139" t="s">
        <v>298</v>
      </c>
      <c r="AA22" s="189" t="s">
        <v>3142</v>
      </c>
      <c r="AB22" s="189" t="s">
        <v>3144</v>
      </c>
      <c r="AC22" s="211" t="s">
        <v>3768</v>
      </c>
      <c r="AD22" s="171" t="s">
        <v>770</v>
      </c>
      <c r="AE22" s="139"/>
      <c r="AF22" s="138"/>
      <c r="AG22" s="138"/>
      <c r="AH22" s="138"/>
      <c r="AI22" s="138"/>
      <c r="AJ22" s="138"/>
      <c r="AK22" s="138"/>
      <c r="AL22" s="138"/>
      <c r="AM22" s="138"/>
      <c r="AN22" s="138"/>
      <c r="AO22" s="138"/>
      <c r="AP22" s="138"/>
      <c r="AQ22" s="138"/>
      <c r="AR22" s="138"/>
      <c r="AS22" s="138"/>
      <c r="AT22" s="138"/>
      <c r="AU22" s="139"/>
      <c r="AV22" s="138"/>
      <c r="AW22" s="139"/>
      <c r="AX22" s="138"/>
      <c r="AY22" s="138"/>
      <c r="AZ22" s="138"/>
      <c r="BA22" s="138"/>
      <c r="BB22" s="138"/>
      <c r="BC22" s="138"/>
      <c r="BD22" s="138"/>
      <c r="BE22" s="138"/>
      <c r="BF22" s="138"/>
      <c r="BG22" s="138"/>
      <c r="BH22" s="138"/>
      <c r="BI22" s="139"/>
      <c r="BJ22" s="138"/>
      <c r="BK22" s="139"/>
      <c r="BL22" s="139"/>
      <c r="BM22" s="138"/>
      <c r="BN22" s="138"/>
      <c r="BO22" s="138"/>
      <c r="BP22" s="138"/>
      <c r="BQ22" s="138"/>
      <c r="BR22" s="138"/>
      <c r="BS22" s="138"/>
      <c r="BT22" s="138"/>
      <c r="BU22" s="138"/>
      <c r="BV22" s="138"/>
      <c r="BW22" s="138"/>
      <c r="BX22" s="138"/>
      <c r="BY22" s="138"/>
      <c r="BZ22" s="138"/>
      <c r="CA22" s="138"/>
      <c r="CB22" s="138"/>
      <c r="CC22" s="138"/>
      <c r="CD22" s="138"/>
      <c r="CE22" s="138"/>
      <c r="CF22" s="138"/>
      <c r="CG22" s="138"/>
      <c r="CH22" s="138"/>
      <c r="CI22" s="138"/>
      <c r="CJ22" s="138"/>
      <c r="CK22" s="138"/>
      <c r="CL22" s="138"/>
      <c r="CM22" s="138"/>
      <c r="CN22" s="138"/>
      <c r="CO22" s="138"/>
      <c r="CP22" s="141"/>
      <c r="CQ22" s="138"/>
      <c r="CR22" s="138"/>
      <c r="CS22" s="138"/>
      <c r="CT22" s="138"/>
      <c r="CU22" s="138"/>
      <c r="CV22" s="138"/>
      <c r="CW22" s="138"/>
      <c r="CX22" s="138"/>
      <c r="CY22" s="138"/>
      <c r="CZ22" s="138"/>
      <c r="DA22" s="138"/>
      <c r="DB22" s="138"/>
      <c r="DC22" s="138"/>
      <c r="DD22" s="138"/>
      <c r="DE22" s="138"/>
      <c r="DF22" s="138"/>
      <c r="DG22" s="141"/>
      <c r="DH22" s="138"/>
      <c r="DI22" s="138"/>
      <c r="DJ22" s="138"/>
      <c r="DK22" s="138"/>
      <c r="DL22" s="138"/>
      <c r="DM22" s="138"/>
      <c r="DN22" s="138"/>
      <c r="DO22" s="138"/>
      <c r="DP22" s="138"/>
      <c r="DQ22" s="138"/>
      <c r="DR22" s="138"/>
      <c r="DS22" s="138"/>
      <c r="DT22" s="138"/>
      <c r="DU22" s="138"/>
      <c r="DV22" s="138"/>
      <c r="DW22" s="138"/>
      <c r="DX22" s="138"/>
      <c r="DY22" s="138"/>
      <c r="DZ22" s="138"/>
      <c r="EA22" s="138"/>
      <c r="EB22" s="138"/>
      <c r="EC22" s="138"/>
      <c r="ED22" s="138"/>
      <c r="EE22" s="138"/>
      <c r="EF22" s="138"/>
      <c r="EG22" s="138"/>
      <c r="EH22" s="138"/>
      <c r="EI22" s="138"/>
      <c r="EJ22" s="138"/>
      <c r="EK22" s="138"/>
      <c r="EL22" s="144"/>
      <c r="EM22" s="141"/>
      <c r="EN22" s="147"/>
      <c r="EO22" s="141"/>
      <c r="EP22" s="141"/>
      <c r="EQ22" s="141"/>
      <c r="ER22" s="138"/>
      <c r="ES22" s="141"/>
      <c r="ET22" s="141"/>
      <c r="EU22" s="138"/>
      <c r="EV22" s="138"/>
      <c r="EW22" s="211" t="s">
        <v>3866</v>
      </c>
      <c r="EX22" s="211" t="s">
        <v>3942</v>
      </c>
      <c r="EY22" s="211" t="s">
        <v>4004</v>
      </c>
      <c r="EZ22" s="211" t="s">
        <v>4066</v>
      </c>
      <c r="FA22" s="211" t="s">
        <v>4128</v>
      </c>
      <c r="FB22" s="211" t="s">
        <v>4192</v>
      </c>
      <c r="FC22" s="211" t="s">
        <v>4253</v>
      </c>
      <c r="FD22" s="211" t="s">
        <v>4314</v>
      </c>
      <c r="FE22" s="211" t="s">
        <v>4375</v>
      </c>
      <c r="FF22" s="138"/>
      <c r="FG22" s="150"/>
      <c r="FH22" s="138"/>
      <c r="FI22" s="152"/>
      <c r="FJ22" s="150"/>
      <c r="FK22" s="138"/>
      <c r="FL22" s="150"/>
      <c r="FM22" s="138"/>
      <c r="FN22" s="150"/>
      <c r="FO22" s="138"/>
      <c r="FP22" s="150"/>
      <c r="FQ22" s="144"/>
      <c r="FR22" s="179"/>
      <c r="FS22" s="138"/>
      <c r="FT22" s="144"/>
      <c r="FU22" s="138"/>
      <c r="FV22" s="144"/>
      <c r="FW22" s="138"/>
      <c r="FX22" s="144"/>
      <c r="FY22" s="56"/>
      <c r="FZ22" s="56"/>
      <c r="GA22" s="56"/>
      <c r="GB22" s="56"/>
    </row>
    <row r="23" spans="1:288" ht="12.75" customHeight="1" x14ac:dyDescent="0.2">
      <c r="A23" s="99" t="s">
        <v>289</v>
      </c>
      <c r="B23" s="189" t="s">
        <v>2833</v>
      </c>
      <c r="C23" s="189" t="s">
        <v>2910</v>
      </c>
      <c r="D23" s="211" t="s">
        <v>3168</v>
      </c>
      <c r="E23" s="70" t="s">
        <v>24</v>
      </c>
      <c r="F23" s="53" t="s">
        <v>833</v>
      </c>
      <c r="G23" s="53"/>
      <c r="H23" s="211" t="s">
        <v>3265</v>
      </c>
      <c r="I23" s="211" t="s">
        <v>3365</v>
      </c>
      <c r="J23" s="211" t="s">
        <v>472</v>
      </c>
      <c r="K23" s="53"/>
      <c r="L23" s="189">
        <v>4</v>
      </c>
      <c r="M23" s="211" t="s">
        <v>3476</v>
      </c>
      <c r="N23" s="211" t="s">
        <v>3576</v>
      </c>
      <c r="O23" s="189" t="s">
        <v>292</v>
      </c>
      <c r="P23" s="189" t="s">
        <v>293</v>
      </c>
      <c r="Q23" s="211">
        <v>27022</v>
      </c>
      <c r="R23" s="189" t="s">
        <v>294</v>
      </c>
      <c r="S23" s="189" t="s">
        <v>3010</v>
      </c>
      <c r="T23" s="189" t="s">
        <v>3102</v>
      </c>
      <c r="U23" s="211">
        <v>11</v>
      </c>
      <c r="V23" s="211" t="s">
        <v>3655</v>
      </c>
      <c r="W23" s="211" t="s">
        <v>3668</v>
      </c>
      <c r="X23" s="53"/>
      <c r="Y23" s="211">
        <v>1</v>
      </c>
      <c r="Z23" s="94" t="s">
        <v>1120</v>
      </c>
      <c r="AA23" s="189" t="s">
        <v>3143</v>
      </c>
      <c r="AB23" s="189" t="s">
        <v>3146</v>
      </c>
      <c r="AC23" s="211" t="s">
        <v>3769</v>
      </c>
      <c r="AD23" s="161" t="s">
        <v>1104</v>
      </c>
      <c r="AE23" s="53"/>
      <c r="AF23" s="48"/>
      <c r="AG23" s="48"/>
      <c r="AH23" s="48"/>
      <c r="AI23" s="48"/>
      <c r="AJ23" s="48"/>
      <c r="AK23" s="48"/>
      <c r="AL23" s="48"/>
      <c r="AM23" s="48"/>
      <c r="AN23" s="48"/>
      <c r="AO23" s="48"/>
      <c r="AP23" s="48"/>
      <c r="AQ23" s="48"/>
      <c r="AR23" s="48"/>
      <c r="AS23" s="48"/>
      <c r="AT23" s="48"/>
      <c r="AU23" s="48"/>
      <c r="AV23" s="48"/>
      <c r="AW23" s="48"/>
      <c r="AX23" s="48"/>
      <c r="AY23" s="48"/>
      <c r="AZ23" s="48"/>
      <c r="BA23" s="48"/>
      <c r="BB23" s="48">
        <v>1</v>
      </c>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t="s">
        <v>834</v>
      </c>
      <c r="CR23" s="48"/>
      <c r="CS23" s="48" t="s">
        <v>1121</v>
      </c>
      <c r="CT23" s="48"/>
      <c r="CU23" s="48" t="s">
        <v>681</v>
      </c>
      <c r="CV23" s="48"/>
      <c r="CW23" s="48" t="s">
        <v>319</v>
      </c>
      <c r="CX23" s="48"/>
      <c r="CY23" s="48" t="s">
        <v>319</v>
      </c>
      <c r="CZ23" s="48"/>
      <c r="DA23" s="48" t="s">
        <v>1122</v>
      </c>
      <c r="DB23" s="48"/>
      <c r="DC23" s="48" t="s">
        <v>1122</v>
      </c>
      <c r="DD23" s="87"/>
      <c r="DE23" s="48" t="s">
        <v>734</v>
      </c>
      <c r="DF23" s="48"/>
      <c r="DG23" s="87"/>
      <c r="DH23" s="87" t="s">
        <v>734</v>
      </c>
      <c r="DI23" s="87"/>
      <c r="DJ23" s="48" t="s">
        <v>527</v>
      </c>
      <c r="DK23" s="48"/>
      <c r="DL23" s="48" t="s">
        <v>527</v>
      </c>
      <c r="DM23" s="48"/>
      <c r="DN23" s="48" t="s">
        <v>758</v>
      </c>
      <c r="DO23" s="48"/>
      <c r="DP23" s="48" t="s">
        <v>758</v>
      </c>
      <c r="DQ23" s="87"/>
      <c r="DR23" s="48" t="s">
        <v>1123</v>
      </c>
      <c r="DS23" s="87"/>
      <c r="DT23" s="48" t="s">
        <v>711</v>
      </c>
      <c r="DU23" s="48"/>
      <c r="DV23" s="48" t="s">
        <v>1124</v>
      </c>
      <c r="DW23" s="48"/>
      <c r="DX23" s="48" t="s">
        <v>788</v>
      </c>
      <c r="DY23" s="48"/>
      <c r="DZ23" s="48" t="s">
        <v>788</v>
      </c>
      <c r="EA23" s="48"/>
      <c r="EB23" s="103" t="s">
        <v>788</v>
      </c>
      <c r="EC23" s="48"/>
      <c r="ED23" s="48" t="s">
        <v>667</v>
      </c>
      <c r="EE23" s="48"/>
      <c r="EF23" s="48" t="s">
        <v>667</v>
      </c>
      <c r="EG23" s="48"/>
      <c r="EH23" s="48" t="s">
        <v>1125</v>
      </c>
      <c r="EI23" s="48"/>
      <c r="EJ23" s="48" t="s">
        <v>1125</v>
      </c>
      <c r="EK23" s="87"/>
      <c r="EL23" s="87"/>
      <c r="EM23" s="48"/>
      <c r="EN23" s="55"/>
      <c r="EO23" s="48"/>
      <c r="EP23" s="48"/>
      <c r="EQ23" s="87"/>
      <c r="ER23" s="48"/>
      <c r="ES23" s="48"/>
      <c r="ET23" s="134"/>
      <c r="EU23" s="134"/>
      <c r="EV23" s="134"/>
      <c r="EW23" s="211" t="s">
        <v>3867</v>
      </c>
      <c r="EX23" s="211" t="s">
        <v>3943</v>
      </c>
      <c r="EY23" s="211" t="s">
        <v>4005</v>
      </c>
      <c r="EZ23" s="211" t="s">
        <v>4067</v>
      </c>
      <c r="FA23" s="211" t="s">
        <v>4129</v>
      </c>
      <c r="FB23" s="211" t="s">
        <v>4193</v>
      </c>
      <c r="FC23" s="211" t="s">
        <v>4254</v>
      </c>
      <c r="FD23" s="211" t="s">
        <v>4315</v>
      </c>
      <c r="FE23" s="211" t="s">
        <v>4376</v>
      </c>
      <c r="FF23" s="134"/>
      <c r="FG23" s="146"/>
      <c r="FH23" s="134"/>
      <c r="FI23" s="151"/>
      <c r="FJ23" s="146"/>
      <c r="FK23" s="134"/>
      <c r="FL23" s="146"/>
      <c r="FM23" s="134"/>
      <c r="FN23" s="146"/>
      <c r="FO23" s="134"/>
      <c r="FP23" s="146"/>
      <c r="FQ23" s="136"/>
      <c r="FR23" s="134"/>
      <c r="FS23" s="134"/>
      <c r="FT23" s="136"/>
      <c r="FU23" s="134"/>
      <c r="FV23" s="136"/>
      <c r="FW23" s="134"/>
      <c r="FX23" s="136"/>
      <c r="FY23" s="56"/>
      <c r="FZ23" s="56"/>
      <c r="GA23" s="56"/>
      <c r="GB23" s="56"/>
    </row>
    <row r="24" spans="1:288" ht="12.75" customHeight="1" x14ac:dyDescent="0.2">
      <c r="A24" s="100" t="s">
        <v>289</v>
      </c>
      <c r="B24" s="189" t="s">
        <v>2834</v>
      </c>
      <c r="C24" s="189" t="s">
        <v>2911</v>
      </c>
      <c r="D24" s="211" t="s">
        <v>3169</v>
      </c>
      <c r="E24" s="53" t="s">
        <v>472</v>
      </c>
      <c r="F24" s="53" t="s">
        <v>24</v>
      </c>
      <c r="G24" s="53"/>
      <c r="H24" s="211" t="s">
        <v>3266</v>
      </c>
      <c r="I24" s="211" t="s">
        <v>3366</v>
      </c>
      <c r="J24" s="211" t="s">
        <v>870</v>
      </c>
      <c r="K24" s="97"/>
      <c r="L24" s="189">
        <v>4</v>
      </c>
      <c r="M24" s="211" t="s">
        <v>3477</v>
      </c>
      <c r="N24" s="211" t="s">
        <v>3577</v>
      </c>
      <c r="O24" s="189" t="s">
        <v>292</v>
      </c>
      <c r="P24" s="189" t="s">
        <v>293</v>
      </c>
      <c r="Q24" s="211">
        <v>27023</v>
      </c>
      <c r="R24" s="189" t="s">
        <v>294</v>
      </c>
      <c r="S24" s="189" t="s">
        <v>3011</v>
      </c>
      <c r="T24" s="189" t="s">
        <v>3103</v>
      </c>
      <c r="U24" s="211">
        <v>15</v>
      </c>
      <c r="V24" s="211" t="s">
        <v>3655</v>
      </c>
      <c r="W24" s="211" t="s">
        <v>3669</v>
      </c>
      <c r="X24" s="97"/>
      <c r="Y24" s="211">
        <v>1</v>
      </c>
      <c r="Z24" s="97" t="s">
        <v>298</v>
      </c>
      <c r="AA24" s="189" t="s">
        <v>3142</v>
      </c>
      <c r="AB24" s="189" t="s">
        <v>410</v>
      </c>
      <c r="AC24" s="211" t="s">
        <v>3770</v>
      </c>
      <c r="AD24" s="161" t="s">
        <v>1104</v>
      </c>
      <c r="AE24" s="97"/>
      <c r="AF24" s="95"/>
      <c r="AG24" s="95"/>
      <c r="AH24" s="95"/>
      <c r="AI24" s="95"/>
      <c r="AJ24" s="95"/>
      <c r="AK24" s="95"/>
      <c r="AL24" s="95"/>
      <c r="AM24" s="95"/>
      <c r="AN24" s="95"/>
      <c r="AO24" s="95"/>
      <c r="AP24" s="95"/>
      <c r="AQ24" s="95"/>
      <c r="AR24" s="95"/>
      <c r="AS24" s="95"/>
      <c r="AT24" s="95"/>
      <c r="AU24" s="95"/>
      <c r="AV24" s="95"/>
      <c r="AW24" s="95"/>
      <c r="AX24" s="95"/>
      <c r="AY24" s="95"/>
      <c r="AZ24" s="95"/>
      <c r="BA24" s="95"/>
      <c r="BB24" s="95">
        <v>1</v>
      </c>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t="s">
        <v>699</v>
      </c>
      <c r="CB24" s="95"/>
      <c r="CC24" s="95" t="s">
        <v>314</v>
      </c>
      <c r="CD24" s="95"/>
      <c r="CE24" s="95" t="s">
        <v>314</v>
      </c>
      <c r="CF24" s="95"/>
      <c r="CG24" s="95" t="s">
        <v>769</v>
      </c>
      <c r="CH24" s="95"/>
      <c r="CI24" s="95" t="s">
        <v>769</v>
      </c>
      <c r="CJ24" s="95"/>
      <c r="CK24" s="95" t="s">
        <v>1126</v>
      </c>
      <c r="CL24" s="95"/>
      <c r="CM24" s="95" t="s">
        <v>1127</v>
      </c>
      <c r="CN24" s="48"/>
      <c r="CO24" s="48" t="s">
        <v>795</v>
      </c>
      <c r="CP24" s="48"/>
      <c r="CQ24" s="48" t="s">
        <v>795</v>
      </c>
      <c r="CR24" s="48"/>
      <c r="CS24" s="48" t="s">
        <v>656</v>
      </c>
      <c r="CT24" s="48"/>
      <c r="CU24" s="48" t="s">
        <v>656</v>
      </c>
      <c r="CV24" s="48"/>
      <c r="CW24" s="48" t="s">
        <v>1128</v>
      </c>
      <c r="CX24" s="48"/>
      <c r="CY24" s="48" t="s">
        <v>1112</v>
      </c>
      <c r="CZ24" s="48"/>
      <c r="DA24" s="48" t="s">
        <v>1129</v>
      </c>
      <c r="DB24" s="48"/>
      <c r="DC24" s="48" t="s">
        <v>361</v>
      </c>
      <c r="DD24" s="48"/>
      <c r="DE24" s="48" t="s">
        <v>361</v>
      </c>
      <c r="DF24" s="48"/>
      <c r="DG24" s="95"/>
      <c r="DH24" s="48" t="s">
        <v>724</v>
      </c>
      <c r="DI24" s="48"/>
      <c r="DJ24" s="48" t="s">
        <v>724</v>
      </c>
      <c r="DK24" s="48"/>
      <c r="DL24" s="48" t="s">
        <v>363</v>
      </c>
      <c r="DM24" s="48"/>
      <c r="DN24" s="48" t="s">
        <v>363</v>
      </c>
      <c r="DO24" s="48"/>
      <c r="DP24" s="48" t="s">
        <v>364</v>
      </c>
      <c r="DQ24" s="48"/>
      <c r="DR24" s="48" t="s">
        <v>364</v>
      </c>
      <c r="DS24" s="48"/>
      <c r="DT24" s="13" t="s">
        <v>1130</v>
      </c>
      <c r="DU24" s="48"/>
      <c r="DV24" s="13" t="s">
        <v>1130</v>
      </c>
      <c r="DW24" s="48"/>
      <c r="DX24" s="48" t="s">
        <v>530</v>
      </c>
      <c r="DY24" s="48"/>
      <c r="DZ24" s="48" t="s">
        <v>530</v>
      </c>
      <c r="EA24" s="48"/>
      <c r="EB24" s="103" t="s">
        <v>530</v>
      </c>
      <c r="EC24" s="48"/>
      <c r="ED24" s="48" t="s">
        <v>1131</v>
      </c>
      <c r="EE24" s="48"/>
      <c r="EF24" s="48" t="s">
        <v>667</v>
      </c>
      <c r="EG24" s="48"/>
      <c r="EH24" s="48" t="s">
        <v>1132</v>
      </c>
      <c r="EI24" s="48"/>
      <c r="EJ24" s="48"/>
      <c r="EK24" s="48"/>
      <c r="EL24" s="52"/>
      <c r="EM24" s="48"/>
      <c r="EN24" s="55"/>
      <c r="EO24" s="48"/>
      <c r="EP24" s="48"/>
      <c r="EQ24" s="48"/>
      <c r="ER24" s="48"/>
      <c r="ES24" s="48"/>
      <c r="ET24" s="134"/>
      <c r="EU24" s="134"/>
      <c r="EV24" s="134" t="s">
        <v>1133</v>
      </c>
      <c r="EW24" s="211" t="s">
        <v>3868</v>
      </c>
      <c r="EX24" s="211" t="s">
        <v>3944</v>
      </c>
      <c r="EY24" s="211" t="s">
        <v>4006</v>
      </c>
      <c r="EZ24" s="211" t="s">
        <v>4068</v>
      </c>
      <c r="FA24" s="211" t="s">
        <v>4130</v>
      </c>
      <c r="FB24" s="211" t="s">
        <v>4194</v>
      </c>
      <c r="FC24" s="211" t="s">
        <v>4255</v>
      </c>
      <c r="FD24" s="211" t="s">
        <v>4316</v>
      </c>
      <c r="FE24" s="211" t="s">
        <v>4377</v>
      </c>
      <c r="FF24" s="134"/>
      <c r="FG24" s="146"/>
      <c r="FH24" s="134"/>
      <c r="FI24" s="151"/>
      <c r="FJ24" s="146"/>
      <c r="FK24" s="134"/>
      <c r="FL24" s="146"/>
      <c r="FM24" s="134"/>
      <c r="FN24" s="146"/>
      <c r="FO24" s="134"/>
      <c r="FP24" s="146"/>
      <c r="FQ24" s="136"/>
      <c r="FR24" s="134"/>
      <c r="FS24" s="134"/>
      <c r="FT24" s="136"/>
      <c r="FU24" s="134"/>
      <c r="FV24" s="136"/>
      <c r="FW24" s="134"/>
      <c r="FX24" s="136"/>
    </row>
    <row r="25" spans="1:288" s="104" customFormat="1" ht="15" customHeight="1" x14ac:dyDescent="0.2">
      <c r="A25" s="173" t="s">
        <v>289</v>
      </c>
      <c r="B25" s="189" t="s">
        <v>2835</v>
      </c>
      <c r="C25" s="189" t="s">
        <v>2912</v>
      </c>
      <c r="D25" s="211" t="s">
        <v>3170</v>
      </c>
      <c r="E25" s="53" t="s">
        <v>24</v>
      </c>
      <c r="F25" s="133" t="s">
        <v>24</v>
      </c>
      <c r="G25" s="53"/>
      <c r="H25" s="211" t="s">
        <v>3267</v>
      </c>
      <c r="I25" s="211" t="s">
        <v>3367</v>
      </c>
      <c r="J25" s="211" t="s">
        <v>24</v>
      </c>
      <c r="K25" s="211" t="s">
        <v>3447</v>
      </c>
      <c r="L25" s="189">
        <v>5</v>
      </c>
      <c r="M25" s="211" t="s">
        <v>3478</v>
      </c>
      <c r="N25" s="211" t="s">
        <v>3578</v>
      </c>
      <c r="O25" s="189" t="s">
        <v>292</v>
      </c>
      <c r="P25" s="189" t="s">
        <v>293</v>
      </c>
      <c r="Q25" s="211">
        <v>27024</v>
      </c>
      <c r="R25" s="189" t="s">
        <v>294</v>
      </c>
      <c r="S25" s="189" t="s">
        <v>3012</v>
      </c>
      <c r="T25" s="189" t="s">
        <v>3104</v>
      </c>
      <c r="U25" s="211">
        <v>9</v>
      </c>
      <c r="V25" s="211" t="s">
        <v>3655</v>
      </c>
      <c r="W25" s="211" t="s">
        <v>3670</v>
      </c>
      <c r="X25" s="133"/>
      <c r="Y25" s="211">
        <v>1</v>
      </c>
      <c r="Z25" s="134" t="s">
        <v>298</v>
      </c>
      <c r="AA25" s="189" t="s">
        <v>3142</v>
      </c>
      <c r="AB25" s="189" t="s">
        <v>766</v>
      </c>
      <c r="AC25" s="211" t="s">
        <v>3771</v>
      </c>
      <c r="AD25" s="161" t="s">
        <v>770</v>
      </c>
      <c r="AE25" s="133"/>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c r="BT25" s="134"/>
      <c r="BU25" s="134"/>
      <c r="BV25" s="134"/>
      <c r="BW25" s="134"/>
      <c r="BX25" s="134"/>
      <c r="BY25" s="134"/>
      <c r="BZ25" s="134"/>
      <c r="CA25" s="134"/>
      <c r="CB25" s="134"/>
      <c r="CC25" s="134"/>
      <c r="CD25" s="134"/>
      <c r="CE25" s="134"/>
      <c r="CF25" s="134"/>
      <c r="CG25" s="134"/>
      <c r="CH25" s="134"/>
      <c r="CI25" s="134"/>
      <c r="CJ25" s="134"/>
      <c r="CK25" s="134"/>
      <c r="CL25" s="134"/>
      <c r="CM25" s="134"/>
      <c r="CN25" s="134"/>
      <c r="CO25" s="134"/>
      <c r="CP25" s="48"/>
      <c r="CQ25" s="134"/>
      <c r="CR25" s="134"/>
      <c r="CS25" s="134"/>
      <c r="CT25" s="134"/>
      <c r="CU25" s="134"/>
      <c r="CV25" s="134"/>
      <c r="CW25" s="134"/>
      <c r="CX25" s="134"/>
      <c r="CY25" s="134"/>
      <c r="CZ25" s="134"/>
      <c r="DA25" s="134"/>
      <c r="DB25" s="134"/>
      <c r="DC25" s="134"/>
      <c r="DD25" s="137"/>
      <c r="DE25" s="134"/>
      <c r="DF25" s="134"/>
      <c r="DG25" s="87"/>
      <c r="DH25" s="137"/>
      <c r="DI25" s="137"/>
      <c r="DJ25" s="134"/>
      <c r="DK25" s="134"/>
      <c r="DL25" s="134"/>
      <c r="DM25" s="134"/>
      <c r="DN25" s="134"/>
      <c r="DO25" s="134"/>
      <c r="DP25" s="134"/>
      <c r="DQ25" s="137"/>
      <c r="DR25" s="134"/>
      <c r="DS25" s="137"/>
      <c r="DT25" s="134"/>
      <c r="DU25" s="134"/>
      <c r="DV25" s="134"/>
      <c r="DW25" s="134"/>
      <c r="DX25" s="134"/>
      <c r="DY25" s="134"/>
      <c r="DZ25" s="134"/>
      <c r="EA25" s="134"/>
      <c r="EB25" s="134"/>
      <c r="EC25" s="134"/>
      <c r="ED25" s="134"/>
      <c r="EE25" s="134"/>
      <c r="EF25" s="134"/>
      <c r="EG25" s="134"/>
      <c r="EH25" s="134"/>
      <c r="EI25" s="134"/>
      <c r="EJ25" s="134"/>
      <c r="EK25" s="137"/>
      <c r="EL25" s="137"/>
      <c r="EM25" s="48"/>
      <c r="EN25" s="55"/>
      <c r="EO25" s="48"/>
      <c r="EP25" s="48"/>
      <c r="EQ25" s="87"/>
      <c r="ER25" s="134"/>
      <c r="ES25" s="48"/>
      <c r="ET25" s="48"/>
      <c r="EU25" s="134"/>
      <c r="EV25" s="134"/>
      <c r="EW25" s="211" t="s">
        <v>3869</v>
      </c>
      <c r="EX25" s="211" t="s">
        <v>3945</v>
      </c>
      <c r="EY25" s="211" t="s">
        <v>4007</v>
      </c>
      <c r="EZ25" s="211" t="s">
        <v>4069</v>
      </c>
      <c r="FA25" s="211" t="s">
        <v>4131</v>
      </c>
      <c r="FB25" s="211" t="s">
        <v>4195</v>
      </c>
      <c r="FC25" s="211" t="s">
        <v>4256</v>
      </c>
      <c r="FD25" s="211" t="s">
        <v>4317</v>
      </c>
      <c r="FE25" s="211" t="s">
        <v>4378</v>
      </c>
      <c r="FF25" s="134"/>
      <c r="FG25" s="146"/>
      <c r="FH25" s="134"/>
      <c r="FI25" s="151"/>
      <c r="FJ25" s="146"/>
      <c r="FK25" s="134"/>
      <c r="FL25" s="146"/>
      <c r="FM25" s="134"/>
      <c r="FN25" s="146"/>
      <c r="FO25" s="134"/>
      <c r="FP25" s="146"/>
      <c r="FQ25" s="136"/>
      <c r="FR25" s="134"/>
      <c r="FS25" s="134"/>
      <c r="FT25" s="136"/>
      <c r="FU25" s="134"/>
      <c r="FV25" s="136"/>
      <c r="FW25" s="134"/>
      <c r="FX25" s="136"/>
      <c r="FY25" s="56"/>
      <c r="FZ25" s="56"/>
      <c r="GA25" s="56"/>
      <c r="GB25" s="56"/>
      <c r="GC25" s="166"/>
      <c r="GD25" s="131"/>
      <c r="GE25" s="131"/>
      <c r="GF25" s="131"/>
      <c r="GG25" s="131"/>
      <c r="GH25" s="131"/>
      <c r="GI25" s="131"/>
      <c r="GJ25" s="131"/>
      <c r="GK25" s="131"/>
      <c r="GL25" s="131"/>
      <c r="GM25" s="131"/>
      <c r="GN25" s="131"/>
      <c r="GO25" s="131"/>
      <c r="GP25" s="131"/>
      <c r="GQ25" s="131"/>
      <c r="GR25" s="131"/>
      <c r="GS25" s="131"/>
      <c r="GT25" s="131"/>
      <c r="GU25" s="131"/>
      <c r="GV25" s="131"/>
      <c r="GW25" s="131"/>
      <c r="GX25" s="131"/>
      <c r="GY25" s="131"/>
      <c r="GZ25" s="131"/>
      <c r="HA25" s="131"/>
      <c r="HB25" s="131"/>
      <c r="HC25" s="131"/>
      <c r="HD25" s="131"/>
      <c r="HE25" s="131"/>
      <c r="HF25" s="131"/>
      <c r="HG25" s="131"/>
      <c r="HH25" s="131"/>
      <c r="HI25" s="131"/>
      <c r="HJ25" s="131"/>
      <c r="HK25" s="131"/>
      <c r="HL25" s="131"/>
      <c r="HM25" s="131"/>
      <c r="HN25" s="131"/>
      <c r="HO25" s="131"/>
      <c r="HP25" s="131"/>
      <c r="HQ25" s="131"/>
      <c r="HR25" s="131"/>
      <c r="HS25" s="131"/>
      <c r="HT25" s="131"/>
      <c r="HU25" s="131"/>
      <c r="HV25" s="131"/>
      <c r="HW25" s="131"/>
      <c r="HX25" s="131"/>
      <c r="HY25" s="131"/>
      <c r="HZ25" s="131"/>
      <c r="IA25" s="131"/>
      <c r="IB25" s="131"/>
      <c r="IC25" s="131"/>
      <c r="ID25" s="131"/>
      <c r="IE25" s="131"/>
      <c r="IF25" s="131"/>
      <c r="IG25" s="131"/>
      <c r="IH25" s="131"/>
      <c r="II25" s="131"/>
      <c r="IJ25" s="131"/>
      <c r="IK25" s="131"/>
      <c r="IL25" s="131"/>
      <c r="IM25" s="131"/>
      <c r="IN25" s="131"/>
      <c r="IO25" s="131"/>
      <c r="IP25" s="131"/>
      <c r="IQ25" s="131"/>
      <c r="IR25" s="131"/>
      <c r="IS25" s="131"/>
      <c r="IT25" s="131"/>
      <c r="IU25" s="131"/>
      <c r="IV25" s="131"/>
      <c r="IW25" s="131"/>
      <c r="IX25" s="131"/>
      <c r="IY25" s="131"/>
      <c r="IZ25" s="131"/>
      <c r="JA25" s="131"/>
      <c r="JB25" s="131"/>
      <c r="JC25" s="131"/>
      <c r="JD25" s="131"/>
      <c r="JE25" s="131"/>
      <c r="JF25" s="131"/>
      <c r="JG25" s="131"/>
      <c r="JH25" s="131"/>
      <c r="JI25" s="131"/>
      <c r="JJ25" s="131"/>
      <c r="JK25" s="131"/>
      <c r="JL25" s="131"/>
      <c r="JM25" s="131"/>
      <c r="JN25" s="131"/>
      <c r="JO25" s="131"/>
      <c r="JP25" s="131"/>
      <c r="JQ25" s="131"/>
      <c r="JR25" s="131"/>
      <c r="JS25" s="131"/>
      <c r="JT25" s="131"/>
      <c r="JU25" s="131"/>
      <c r="JV25" s="131"/>
      <c r="JW25" s="131"/>
      <c r="JX25" s="131"/>
      <c r="JY25" s="131"/>
      <c r="JZ25" s="131"/>
      <c r="KA25" s="131"/>
      <c r="KB25" s="131"/>
    </row>
    <row r="26" spans="1:288" ht="12.75" customHeight="1" x14ac:dyDescent="0.2">
      <c r="A26" s="132" t="s">
        <v>289</v>
      </c>
      <c r="B26" s="189" t="s">
        <v>2836</v>
      </c>
      <c r="C26" s="189" t="s">
        <v>2913</v>
      </c>
      <c r="D26" s="211" t="s">
        <v>3171</v>
      </c>
      <c r="E26" s="53" t="s">
        <v>24</v>
      </c>
      <c r="F26" s="53" t="s">
        <v>407</v>
      </c>
      <c r="G26" s="53"/>
      <c r="H26" s="211" t="s">
        <v>3268</v>
      </c>
      <c r="I26" s="211" t="s">
        <v>3368</v>
      </c>
      <c r="J26" s="211" t="s">
        <v>472</v>
      </c>
      <c r="K26" s="53"/>
      <c r="L26" s="189">
        <v>1</v>
      </c>
      <c r="M26" s="211" t="s">
        <v>3479</v>
      </c>
      <c r="N26" s="211" t="s">
        <v>3579</v>
      </c>
      <c r="O26" s="189" t="s">
        <v>292</v>
      </c>
      <c r="P26" s="189" t="s">
        <v>293</v>
      </c>
      <c r="Q26" s="211">
        <v>27025</v>
      </c>
      <c r="R26" s="189" t="s">
        <v>294</v>
      </c>
      <c r="S26" s="189" t="s">
        <v>3013</v>
      </c>
      <c r="T26" s="189" t="s">
        <v>295</v>
      </c>
      <c r="U26" s="211">
        <v>8</v>
      </c>
      <c r="V26" s="211" t="s">
        <v>3655</v>
      </c>
      <c r="W26" s="211" t="s">
        <v>3671</v>
      </c>
      <c r="X26" s="53"/>
      <c r="Y26" s="211">
        <v>1</v>
      </c>
      <c r="Z26" s="89" t="s">
        <v>298</v>
      </c>
      <c r="AA26" s="189" t="s">
        <v>3143</v>
      </c>
      <c r="AB26" s="189" t="s">
        <v>3144</v>
      </c>
      <c r="AC26" s="211" t="s">
        <v>3772</v>
      </c>
      <c r="AD26" s="163" t="b">
        <v>0</v>
      </c>
      <c r="AE26" s="48"/>
      <c r="AF26" s="53" t="s">
        <v>1089</v>
      </c>
      <c r="AG26" s="48" t="s">
        <v>969</v>
      </c>
      <c r="AH26" s="48"/>
      <c r="AI26" s="48" t="s">
        <v>969</v>
      </c>
      <c r="AJ26" s="48"/>
      <c r="AK26" s="48"/>
      <c r="AL26" s="48" t="s">
        <v>302</v>
      </c>
      <c r="AM26" s="48"/>
      <c r="AN26" s="48" t="s">
        <v>302</v>
      </c>
      <c r="AO26" s="48"/>
      <c r="AP26" s="48" t="s">
        <v>710</v>
      </c>
      <c r="AQ26" s="48"/>
      <c r="AR26" s="48" t="s">
        <v>710</v>
      </c>
      <c r="AS26" s="48"/>
      <c r="AT26" s="48" t="s">
        <v>1140</v>
      </c>
      <c r="AU26" s="48"/>
      <c r="AV26" s="48" t="s">
        <v>1140</v>
      </c>
      <c r="AW26" s="48"/>
      <c r="AX26" s="48" t="s">
        <v>1141</v>
      </c>
      <c r="AY26" s="48"/>
      <c r="AZ26" s="48" t="s">
        <v>1141</v>
      </c>
      <c r="BA26" s="48"/>
      <c r="BB26" s="48"/>
      <c r="BC26" s="48"/>
      <c r="BD26" s="48" t="s">
        <v>511</v>
      </c>
      <c r="BE26" s="48" t="s">
        <v>14</v>
      </c>
      <c r="BF26" s="48" t="s">
        <v>511</v>
      </c>
      <c r="BG26" s="48"/>
      <c r="BH26" s="48" t="s">
        <v>1142</v>
      </c>
      <c r="BI26" s="48"/>
      <c r="BJ26" s="48" t="s">
        <v>1143</v>
      </c>
      <c r="BK26" s="48"/>
      <c r="BL26" s="48" t="s">
        <v>1144</v>
      </c>
      <c r="BM26" s="48"/>
      <c r="BN26" s="53" t="s">
        <v>567</v>
      </c>
      <c r="BO26" s="48"/>
      <c r="BP26" s="53" t="s">
        <v>568</v>
      </c>
      <c r="BQ26" s="48"/>
      <c r="BR26" s="93" t="s">
        <v>1145</v>
      </c>
      <c r="BS26" s="48" t="s">
        <v>1146</v>
      </c>
      <c r="BT26" s="48"/>
      <c r="BU26" s="48" t="s">
        <v>654</v>
      </c>
      <c r="BV26" s="48"/>
      <c r="BW26" s="48" t="s">
        <v>654</v>
      </c>
      <c r="BX26" s="48"/>
      <c r="BY26" s="48" t="s">
        <v>655</v>
      </c>
      <c r="BZ26" s="48"/>
      <c r="CA26" s="48" t="s">
        <v>655</v>
      </c>
      <c r="CB26" s="48"/>
      <c r="CC26" s="81" t="s">
        <v>791</v>
      </c>
      <c r="CD26" s="48"/>
      <c r="CE26" s="48" t="s">
        <v>1137</v>
      </c>
      <c r="CF26" s="48"/>
      <c r="CG26" s="48" t="s">
        <v>1137</v>
      </c>
      <c r="CH26" s="48"/>
      <c r="CI26" s="48" t="s">
        <v>643</v>
      </c>
      <c r="CJ26" s="48"/>
      <c r="CK26" s="48" t="s">
        <v>643</v>
      </c>
      <c r="CL26" s="48"/>
      <c r="CM26" s="48" t="s">
        <v>1147</v>
      </c>
      <c r="CN26" s="48"/>
      <c r="CO26" s="48" t="s">
        <v>760</v>
      </c>
      <c r="CP26" s="48"/>
      <c r="CQ26" s="48" t="s">
        <v>760</v>
      </c>
      <c r="CR26" s="48"/>
      <c r="CS26" s="48" t="s">
        <v>1148</v>
      </c>
      <c r="CT26" s="48"/>
      <c r="CU26" s="48" t="s">
        <v>611</v>
      </c>
      <c r="CV26" s="48"/>
      <c r="CW26" s="48" t="s">
        <v>611</v>
      </c>
      <c r="CX26" s="48"/>
      <c r="CY26" s="48" t="s">
        <v>360</v>
      </c>
      <c r="CZ26" s="48"/>
      <c r="DA26" s="48" t="s">
        <v>360</v>
      </c>
      <c r="DB26" s="48"/>
      <c r="DC26" s="48" t="s">
        <v>361</v>
      </c>
      <c r="DD26" s="48"/>
      <c r="DE26" s="48" t="s">
        <v>361</v>
      </c>
      <c r="DF26" s="48"/>
      <c r="DG26" s="53" t="s">
        <v>568</v>
      </c>
      <c r="DH26" s="48" t="s">
        <v>362</v>
      </c>
      <c r="DI26" s="48"/>
      <c r="DJ26" s="48" t="s">
        <v>362</v>
      </c>
      <c r="DK26" s="48"/>
      <c r="DL26" s="48" t="s">
        <v>363</v>
      </c>
      <c r="DM26" s="48"/>
      <c r="DN26" s="48" t="s">
        <v>363</v>
      </c>
      <c r="DO26" s="48"/>
      <c r="DP26" s="48" t="s">
        <v>1149</v>
      </c>
      <c r="DQ26" s="48"/>
      <c r="DR26" s="48" t="s">
        <v>1149</v>
      </c>
      <c r="DS26" s="48"/>
      <c r="DT26" s="13" t="s">
        <v>671</v>
      </c>
      <c r="DU26" s="48"/>
      <c r="DV26" s="13" t="s">
        <v>671</v>
      </c>
      <c r="DW26" s="48"/>
      <c r="DX26" s="48" t="s">
        <v>1150</v>
      </c>
      <c r="DY26" s="48"/>
      <c r="DZ26" s="48" t="s">
        <v>1150</v>
      </c>
      <c r="EA26" s="48"/>
      <c r="EB26" s="80" t="s">
        <v>1150</v>
      </c>
      <c r="EC26" s="48"/>
      <c r="ED26" s="48" t="s">
        <v>465</v>
      </c>
      <c r="EE26" s="48"/>
      <c r="EF26" s="48" t="s">
        <v>465</v>
      </c>
      <c r="EG26" s="48"/>
      <c r="EH26" s="48" t="s">
        <v>370</v>
      </c>
      <c r="EI26" s="48"/>
      <c r="EJ26" s="48" t="s">
        <v>370</v>
      </c>
      <c r="EK26" s="48"/>
      <c r="EL26" s="52" t="s">
        <v>1151</v>
      </c>
      <c r="EM26" s="48"/>
      <c r="EN26" s="55" t="s">
        <v>1151</v>
      </c>
      <c r="EO26" s="48"/>
      <c r="EP26" s="48"/>
      <c r="EQ26" s="48"/>
      <c r="ER26" s="48"/>
      <c r="ES26" s="48"/>
      <c r="ET26" s="134"/>
      <c r="EU26" s="134"/>
      <c r="EV26" s="134"/>
      <c r="EW26" s="211" t="s">
        <v>3870</v>
      </c>
      <c r="EX26" s="211" t="s">
        <v>3946</v>
      </c>
      <c r="EY26" s="211" t="s">
        <v>4008</v>
      </c>
      <c r="EZ26" s="211" t="s">
        <v>4070</v>
      </c>
      <c r="FA26" s="211" t="s">
        <v>4132</v>
      </c>
      <c r="FB26" s="211" t="s">
        <v>4196</v>
      </c>
      <c r="FC26" s="211" t="s">
        <v>4257</v>
      </c>
      <c r="FD26" s="211" t="s">
        <v>4318</v>
      </c>
      <c r="FE26" s="211" t="s">
        <v>4379</v>
      </c>
      <c r="FF26" s="134"/>
      <c r="FG26" s="146"/>
      <c r="FH26" s="134"/>
      <c r="FI26" s="151"/>
      <c r="FJ26" s="146"/>
      <c r="FK26" s="134"/>
      <c r="FL26" s="146"/>
      <c r="FM26" s="134"/>
      <c r="FN26" s="146"/>
      <c r="FO26" s="134"/>
      <c r="FP26" s="146"/>
      <c r="FQ26" s="136"/>
      <c r="FR26" s="134"/>
      <c r="FS26" s="134"/>
      <c r="FT26" s="136"/>
      <c r="FU26" s="134"/>
      <c r="FV26" s="136"/>
      <c r="FW26" s="134"/>
      <c r="FX26" s="136"/>
      <c r="FY26" s="56"/>
      <c r="FZ26" s="56"/>
      <c r="GA26" s="56"/>
      <c r="GB26" s="56"/>
    </row>
    <row r="27" spans="1:288" ht="12.75" customHeight="1" x14ac:dyDescent="0.2">
      <c r="A27" s="149" t="s">
        <v>289</v>
      </c>
      <c r="B27" s="189" t="s">
        <v>2815</v>
      </c>
      <c r="C27" s="189" t="s">
        <v>2914</v>
      </c>
      <c r="D27" s="211" t="s">
        <v>3172</v>
      </c>
      <c r="E27" s="53" t="s">
        <v>698</v>
      </c>
      <c r="F27" s="53" t="s">
        <v>24</v>
      </c>
      <c r="G27" s="53"/>
      <c r="H27" s="211" t="s">
        <v>3269</v>
      </c>
      <c r="I27" s="211" t="s">
        <v>3369</v>
      </c>
      <c r="J27" s="211" t="s">
        <v>3443</v>
      </c>
      <c r="K27" s="53"/>
      <c r="L27" s="189">
        <v>4</v>
      </c>
      <c r="M27" s="211" t="s">
        <v>3480</v>
      </c>
      <c r="N27" s="211" t="s">
        <v>3580</v>
      </c>
      <c r="O27" s="189" t="s">
        <v>292</v>
      </c>
      <c r="P27" s="189" t="s">
        <v>293</v>
      </c>
      <c r="Q27" s="211">
        <v>27026</v>
      </c>
      <c r="R27" s="189" t="s">
        <v>294</v>
      </c>
      <c r="S27" s="189" t="s">
        <v>3014</v>
      </c>
      <c r="T27" s="189" t="s">
        <v>3105</v>
      </c>
      <c r="U27" s="211">
        <v>12</v>
      </c>
      <c r="V27" s="211" t="s">
        <v>3655</v>
      </c>
      <c r="W27" s="211" t="s">
        <v>3672</v>
      </c>
      <c r="X27" s="53"/>
      <c r="Y27" s="211">
        <v>3</v>
      </c>
      <c r="Z27" s="53" t="s">
        <v>298</v>
      </c>
      <c r="AA27" s="189" t="s">
        <v>3142</v>
      </c>
      <c r="AB27" s="189" t="s">
        <v>3145</v>
      </c>
      <c r="AC27" s="211" t="s">
        <v>3773</v>
      </c>
      <c r="AD27" s="161" t="b">
        <v>0</v>
      </c>
      <c r="AE27" s="53"/>
      <c r="AF27" s="48"/>
      <c r="AG27" s="48"/>
      <c r="AH27" s="48"/>
      <c r="AI27" s="48"/>
      <c r="AJ27" s="48"/>
      <c r="AK27" s="48"/>
      <c r="AL27" s="48"/>
      <c r="AM27" s="48"/>
      <c r="AN27" s="48"/>
      <c r="AO27" s="48"/>
      <c r="AP27" s="48"/>
      <c r="AQ27" s="48"/>
      <c r="AR27" s="48"/>
      <c r="AS27" s="48"/>
      <c r="AT27" s="48"/>
      <c r="AU27" s="48"/>
      <c r="AV27" s="48"/>
      <c r="AW27" s="48"/>
      <c r="AX27" s="48"/>
      <c r="AY27" s="48"/>
      <c r="AZ27" s="48"/>
      <c r="BA27" s="48"/>
      <c r="BB27" s="48">
        <v>3</v>
      </c>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t="s">
        <v>673</v>
      </c>
      <c r="DQ27" s="48"/>
      <c r="DR27" s="48" t="s">
        <v>657</v>
      </c>
      <c r="DS27" s="48"/>
      <c r="DT27" s="48" t="s">
        <v>657</v>
      </c>
      <c r="DU27" s="48"/>
      <c r="DV27" s="48" t="s">
        <v>1152</v>
      </c>
      <c r="DW27" s="48"/>
      <c r="DX27" s="48" t="s">
        <v>1153</v>
      </c>
      <c r="DY27" s="48"/>
      <c r="DZ27" s="48" t="s">
        <v>400</v>
      </c>
      <c r="EA27" s="48"/>
      <c r="EB27" s="48" t="s">
        <v>702</v>
      </c>
      <c r="EC27" s="48"/>
      <c r="ED27" s="48" t="s">
        <v>1154</v>
      </c>
      <c r="EE27" s="48"/>
      <c r="EF27" s="48" t="s">
        <v>1155</v>
      </c>
      <c r="EG27" s="48"/>
      <c r="EH27" s="48" t="s">
        <v>1156</v>
      </c>
      <c r="EI27" s="48"/>
      <c r="EJ27" s="48"/>
      <c r="EK27" s="48"/>
      <c r="EL27" s="52"/>
      <c r="EM27" s="48"/>
      <c r="EN27" s="55"/>
      <c r="EO27" s="48"/>
      <c r="EP27" s="48"/>
      <c r="EQ27" s="48"/>
      <c r="ER27" s="48"/>
      <c r="ES27" s="48"/>
      <c r="ET27" s="134"/>
      <c r="EU27" s="134"/>
      <c r="EV27" s="134"/>
      <c r="EW27" s="211" t="s">
        <v>3871</v>
      </c>
      <c r="EX27" s="211" t="s">
        <v>3947</v>
      </c>
      <c r="EY27" s="211" t="s">
        <v>4009</v>
      </c>
      <c r="EZ27" s="211" t="s">
        <v>4071</v>
      </c>
      <c r="FA27" s="211" t="s">
        <v>4133</v>
      </c>
      <c r="FB27" s="211" t="s">
        <v>4197</v>
      </c>
      <c r="FC27" s="211" t="s">
        <v>4258</v>
      </c>
      <c r="FD27" s="211" t="s">
        <v>4319</v>
      </c>
      <c r="FE27" s="211" t="s">
        <v>4380</v>
      </c>
      <c r="FF27" s="134"/>
      <c r="FG27" s="146"/>
      <c r="FH27" s="134"/>
      <c r="FI27" s="151"/>
      <c r="FJ27" s="146"/>
      <c r="FK27" s="134"/>
      <c r="FL27" s="146"/>
      <c r="FM27" s="134"/>
      <c r="FN27" s="146"/>
      <c r="FO27" s="134"/>
      <c r="FP27" s="146"/>
      <c r="FQ27" s="136"/>
      <c r="FR27" s="134"/>
      <c r="FS27" s="134"/>
      <c r="FT27" s="136"/>
      <c r="FU27" s="134"/>
      <c r="FV27" s="136"/>
      <c r="FW27" s="134"/>
      <c r="FX27" s="136"/>
      <c r="FY27" s="56"/>
      <c r="FZ27" s="56"/>
      <c r="GA27" s="56"/>
      <c r="GB27" s="56"/>
    </row>
    <row r="28" spans="1:288" ht="12.75" customHeight="1" x14ac:dyDescent="0.2">
      <c r="A28" s="159" t="s">
        <v>289</v>
      </c>
      <c r="B28" s="189" t="s">
        <v>2837</v>
      </c>
      <c r="C28" s="189" t="s">
        <v>2915</v>
      </c>
      <c r="D28" s="211" t="s">
        <v>3173</v>
      </c>
      <c r="E28" s="70" t="s">
        <v>24</v>
      </c>
      <c r="F28" s="53" t="s">
        <v>755</v>
      </c>
      <c r="G28" s="53"/>
      <c r="H28" s="211" t="s">
        <v>3270</v>
      </c>
      <c r="I28" s="211" t="s">
        <v>3370</v>
      </c>
      <c r="J28" s="211" t="s">
        <v>24</v>
      </c>
      <c r="K28" s="53"/>
      <c r="L28" s="189">
        <v>1</v>
      </c>
      <c r="M28" s="211" t="s">
        <v>3481</v>
      </c>
      <c r="N28" s="211" t="s">
        <v>3581</v>
      </c>
      <c r="O28" s="189" t="s">
        <v>292</v>
      </c>
      <c r="P28" s="189" t="s">
        <v>293</v>
      </c>
      <c r="Q28" s="211">
        <v>27027</v>
      </c>
      <c r="R28" s="189" t="s">
        <v>294</v>
      </c>
      <c r="S28" s="189" t="s">
        <v>3015</v>
      </c>
      <c r="T28" s="189" t="s">
        <v>3106</v>
      </c>
      <c r="U28" s="211">
        <v>18</v>
      </c>
      <c r="V28" s="211" t="s">
        <v>3655</v>
      </c>
      <c r="W28" s="211" t="s">
        <v>3673</v>
      </c>
      <c r="X28" s="54"/>
      <c r="Y28" s="211">
        <v>1</v>
      </c>
      <c r="Z28" s="54" t="s">
        <v>298</v>
      </c>
      <c r="AA28" s="189" t="s">
        <v>299</v>
      </c>
      <c r="AB28" s="189" t="s">
        <v>336</v>
      </c>
      <c r="AC28" s="211" t="s">
        <v>3774</v>
      </c>
      <c r="AD28" s="164" t="b">
        <v>1</v>
      </c>
      <c r="AE28" s="54"/>
      <c r="AF28" s="56"/>
      <c r="AG28" s="56"/>
      <c r="AH28" s="56"/>
      <c r="AI28" s="50"/>
      <c r="AJ28" s="52"/>
      <c r="AK28" s="52"/>
      <c r="AL28" s="52"/>
      <c r="AM28" s="52"/>
      <c r="AN28" s="48"/>
      <c r="AO28" s="50"/>
      <c r="AP28" s="50"/>
      <c r="AQ28" s="50"/>
      <c r="AR28" s="52"/>
      <c r="AS28" s="52"/>
      <c r="AT28" s="52"/>
      <c r="AU28" s="48"/>
      <c r="AV28" s="50"/>
      <c r="AW28" s="52"/>
      <c r="AX28" s="52"/>
      <c r="AY28" s="48"/>
      <c r="AZ28" s="55"/>
      <c r="BA28" s="55"/>
      <c r="BB28" s="55">
        <v>2</v>
      </c>
      <c r="BC28" s="55"/>
      <c r="BD28" s="55"/>
      <c r="BE28" s="55"/>
      <c r="BF28" s="55"/>
      <c r="BG28" s="55"/>
      <c r="BH28" s="55"/>
      <c r="BI28" s="50"/>
      <c r="BJ28" s="48"/>
      <c r="BK28" s="56"/>
      <c r="BL28" s="56"/>
      <c r="BM28" s="48"/>
      <c r="BN28" s="50"/>
      <c r="BO28" s="50"/>
      <c r="BP28" s="50"/>
      <c r="BQ28" s="50"/>
      <c r="BR28" s="50"/>
      <c r="BS28" s="50"/>
      <c r="BT28" s="50"/>
      <c r="BU28" s="50"/>
      <c r="BV28" s="50"/>
      <c r="BW28" s="50"/>
      <c r="BX28" s="50"/>
      <c r="BY28" s="50"/>
      <c r="BZ28" s="48"/>
      <c r="CA28" s="55"/>
      <c r="CB28" s="55"/>
      <c r="CC28" s="55"/>
      <c r="CD28" s="55"/>
      <c r="CE28" s="55"/>
      <c r="CF28" s="55"/>
      <c r="CG28" s="55"/>
      <c r="CH28" s="55"/>
      <c r="CI28" s="55"/>
      <c r="CJ28" s="55"/>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0"/>
      <c r="DL28" s="56"/>
      <c r="DM28" s="56"/>
      <c r="DN28" s="56"/>
      <c r="DO28" s="56"/>
      <c r="DP28" s="56"/>
      <c r="DQ28" s="56"/>
      <c r="DR28" s="56" t="s">
        <v>818</v>
      </c>
      <c r="DS28" s="56"/>
      <c r="DT28" s="56" t="s">
        <v>668</v>
      </c>
      <c r="DU28" s="56"/>
      <c r="DV28" s="56" t="s">
        <v>668</v>
      </c>
      <c r="DW28" s="56"/>
      <c r="DX28" s="56" t="s">
        <v>1157</v>
      </c>
      <c r="DY28" s="56"/>
      <c r="DZ28" s="56" t="s">
        <v>1158</v>
      </c>
      <c r="EA28" s="56"/>
      <c r="EB28" s="56" t="s">
        <v>1159</v>
      </c>
      <c r="EC28" s="56"/>
      <c r="ED28" s="56" t="s">
        <v>1159</v>
      </c>
      <c r="EE28" s="56"/>
      <c r="EF28" s="56"/>
      <c r="EG28" s="56"/>
      <c r="EH28" s="56"/>
      <c r="EI28" s="56"/>
      <c r="EJ28" s="56"/>
      <c r="EK28" s="56"/>
      <c r="EL28" s="56"/>
      <c r="EM28" s="56"/>
      <c r="EN28" s="56"/>
      <c r="EO28" s="56"/>
      <c r="EP28" s="56"/>
      <c r="EQ28" s="56"/>
      <c r="ER28" s="56"/>
      <c r="ES28" s="56"/>
      <c r="ET28" s="142"/>
      <c r="EU28" s="142"/>
      <c r="EV28" s="142"/>
      <c r="EW28" s="211" t="s">
        <v>3872</v>
      </c>
      <c r="EX28" s="211" t="s">
        <v>3948</v>
      </c>
      <c r="EY28" s="211" t="s">
        <v>4010</v>
      </c>
      <c r="EZ28" s="211" t="s">
        <v>4072</v>
      </c>
      <c r="FA28" s="211" t="s">
        <v>4134</v>
      </c>
      <c r="FB28" s="211" t="s">
        <v>4198</v>
      </c>
      <c r="FC28" s="211" t="s">
        <v>4259</v>
      </c>
      <c r="FD28" s="211" t="s">
        <v>4320</v>
      </c>
      <c r="FE28" s="211" t="s">
        <v>4381</v>
      </c>
      <c r="FF28" s="134"/>
      <c r="FG28" s="142"/>
      <c r="FH28" s="142"/>
      <c r="FI28" s="134"/>
      <c r="FJ28" s="142"/>
      <c r="FK28" s="170"/>
      <c r="FL28" s="142"/>
      <c r="FM28" s="134"/>
      <c r="FN28" s="142"/>
      <c r="FO28" s="134"/>
      <c r="FP28" s="142"/>
      <c r="FQ28" s="142"/>
      <c r="FR28" s="134"/>
      <c r="FS28" s="134"/>
      <c r="FT28" s="136"/>
      <c r="FU28" s="134"/>
      <c r="FV28" s="136"/>
      <c r="FW28" s="134"/>
      <c r="FX28" s="136"/>
    </row>
    <row r="29" spans="1:288" ht="15" customHeight="1" x14ac:dyDescent="0.2">
      <c r="A29" s="68" t="s">
        <v>289</v>
      </c>
      <c r="B29" s="189" t="s">
        <v>2838</v>
      </c>
      <c r="C29" s="189" t="s">
        <v>2916</v>
      </c>
      <c r="D29" s="211" t="s">
        <v>3174</v>
      </c>
      <c r="E29" s="53" t="s">
        <v>472</v>
      </c>
      <c r="F29" s="53" t="s">
        <v>472</v>
      </c>
      <c r="G29" s="53"/>
      <c r="H29" s="211" t="s">
        <v>3271</v>
      </c>
      <c r="I29" s="211" t="s">
        <v>3371</v>
      </c>
      <c r="J29" s="211" t="s">
        <v>870</v>
      </c>
      <c r="K29" s="190"/>
      <c r="L29" s="189">
        <v>1</v>
      </c>
      <c r="M29" s="211" t="s">
        <v>3482</v>
      </c>
      <c r="N29" s="211" t="s">
        <v>3582</v>
      </c>
      <c r="O29" s="189" t="s">
        <v>292</v>
      </c>
      <c r="P29" s="189" t="s">
        <v>293</v>
      </c>
      <c r="Q29" s="211">
        <v>27028</v>
      </c>
      <c r="R29" s="189" t="s">
        <v>294</v>
      </c>
      <c r="S29" s="189" t="s">
        <v>3016</v>
      </c>
      <c r="T29" s="189" t="s">
        <v>3107</v>
      </c>
      <c r="U29" s="211">
        <v>7</v>
      </c>
      <c r="V29" s="211" t="s">
        <v>3655</v>
      </c>
      <c r="W29" s="211" t="s">
        <v>3674</v>
      </c>
      <c r="X29" s="53"/>
      <c r="Y29" s="211">
        <v>1</v>
      </c>
      <c r="Z29" s="189" t="s">
        <v>3141</v>
      </c>
      <c r="AA29" s="189" t="s">
        <v>299</v>
      </c>
      <c r="AB29" s="189" t="s">
        <v>410</v>
      </c>
      <c r="AC29" s="211" t="s">
        <v>3775</v>
      </c>
      <c r="AD29" s="164" t="b">
        <v>0</v>
      </c>
      <c r="AE29" s="192"/>
      <c r="AF29" s="193"/>
      <c r="AG29" s="193"/>
      <c r="AH29" s="193"/>
      <c r="AI29" s="193"/>
      <c r="AJ29" s="193"/>
      <c r="AK29" s="193"/>
      <c r="AL29" s="194"/>
      <c r="AM29" s="48"/>
      <c r="AN29" s="48"/>
      <c r="AO29" s="48"/>
      <c r="AP29" s="194"/>
      <c r="AQ29" s="194"/>
      <c r="AR29" s="194"/>
      <c r="AS29" s="194"/>
      <c r="AT29" s="194"/>
      <c r="AU29" s="194"/>
      <c r="AV29" s="194"/>
      <c r="AW29" s="194"/>
      <c r="AX29" s="194"/>
      <c r="AY29" s="194"/>
      <c r="AZ29" s="194"/>
      <c r="BA29" s="194"/>
      <c r="BB29" s="194"/>
      <c r="BC29" s="194"/>
      <c r="BD29" s="194"/>
      <c r="BE29" s="194"/>
      <c r="BF29" s="194"/>
      <c r="BG29" s="194"/>
      <c r="BH29" s="194"/>
      <c r="BI29" s="194"/>
      <c r="BJ29" s="194"/>
      <c r="BK29" s="194"/>
      <c r="BL29" s="194"/>
      <c r="BM29" s="194"/>
      <c r="BN29" s="194"/>
      <c r="BO29" s="194"/>
      <c r="BP29" s="194"/>
      <c r="BQ29" s="194"/>
      <c r="BR29" s="194"/>
      <c r="BS29" s="194"/>
      <c r="BT29" s="194"/>
      <c r="BU29" s="194"/>
      <c r="BV29" s="194"/>
      <c r="BW29" s="194"/>
      <c r="BX29" s="194"/>
      <c r="BY29" s="194"/>
      <c r="BZ29" s="194"/>
      <c r="CA29" s="194"/>
      <c r="CB29" s="194"/>
      <c r="CC29" s="194"/>
      <c r="CD29" s="194"/>
      <c r="CE29" s="194"/>
      <c r="CF29" s="194"/>
      <c r="CG29" s="194"/>
      <c r="CH29" s="194"/>
      <c r="CI29" s="194"/>
      <c r="CJ29" s="194"/>
      <c r="CK29" s="194"/>
      <c r="CL29" s="194"/>
      <c r="CM29" s="194"/>
      <c r="CN29" s="194"/>
      <c r="CO29" s="194"/>
      <c r="CP29" s="48"/>
      <c r="CQ29" s="194"/>
      <c r="CR29" s="194"/>
      <c r="CS29" s="194"/>
      <c r="CT29" s="194"/>
      <c r="CU29" s="194"/>
      <c r="CV29" s="194"/>
      <c r="CW29" s="194"/>
      <c r="CX29" s="194"/>
      <c r="CY29" s="194"/>
      <c r="CZ29" s="194"/>
      <c r="DA29" s="194"/>
      <c r="DB29" s="194"/>
      <c r="DC29" s="194"/>
      <c r="DD29" s="195"/>
      <c r="DE29" s="194"/>
      <c r="DF29" s="194"/>
      <c r="DG29" s="195"/>
      <c r="DH29" s="195"/>
      <c r="DI29" s="195"/>
      <c r="DJ29" s="194"/>
      <c r="DK29" s="194"/>
      <c r="DL29" s="194"/>
      <c r="DM29" s="194"/>
      <c r="DN29" s="194"/>
      <c r="DO29" s="194"/>
      <c r="DP29" s="194"/>
      <c r="DQ29" s="195"/>
      <c r="DR29" s="194"/>
      <c r="DS29" s="195"/>
      <c r="DT29" s="194"/>
      <c r="DU29" s="194"/>
      <c r="DV29" s="194"/>
      <c r="DW29" s="194"/>
      <c r="DX29" s="194"/>
      <c r="DY29" s="194"/>
      <c r="DZ29" s="194"/>
      <c r="EA29" s="194"/>
      <c r="EB29" s="194"/>
      <c r="EC29" s="194"/>
      <c r="ED29" s="194"/>
      <c r="EE29" s="194"/>
      <c r="EF29" s="194"/>
      <c r="EG29" s="194"/>
      <c r="EH29" s="194"/>
      <c r="EI29" s="194"/>
      <c r="EJ29" s="194"/>
      <c r="EK29" s="195"/>
      <c r="EL29" s="195"/>
      <c r="EM29" s="48"/>
      <c r="EN29" s="55"/>
      <c r="EO29" s="48"/>
      <c r="EP29" s="48"/>
      <c r="EQ29" s="195"/>
      <c r="ER29" s="194"/>
      <c r="ES29" s="48"/>
      <c r="ET29" s="194"/>
      <c r="EU29" s="194"/>
      <c r="EV29" s="194"/>
      <c r="EW29" s="211" t="s">
        <v>3873</v>
      </c>
      <c r="EX29" s="211" t="s">
        <v>3949</v>
      </c>
      <c r="EY29" s="211" t="s">
        <v>4011</v>
      </c>
      <c r="EZ29" s="211" t="s">
        <v>4073</v>
      </c>
      <c r="FA29" s="211" t="s">
        <v>4135</v>
      </c>
      <c r="FB29" s="211" t="s">
        <v>4199</v>
      </c>
      <c r="FC29" s="211" t="s">
        <v>4260</v>
      </c>
      <c r="FD29" s="211" t="s">
        <v>4321</v>
      </c>
      <c r="FE29" s="211" t="s">
        <v>4382</v>
      </c>
      <c r="FF29" s="194"/>
      <c r="FG29" s="194"/>
      <c r="FH29" s="194"/>
      <c r="FI29" s="194"/>
      <c r="FJ29" s="55"/>
      <c r="FK29" s="194"/>
      <c r="FL29" s="197"/>
      <c r="FM29" s="194"/>
      <c r="FN29" s="198"/>
      <c r="FO29" s="194"/>
      <c r="FP29" s="198"/>
      <c r="FQ29" s="194"/>
      <c r="FR29" s="43"/>
      <c r="FS29" s="194"/>
      <c r="FT29" s="194"/>
      <c r="FU29" s="194"/>
      <c r="FV29" s="199"/>
      <c r="FW29" s="194"/>
      <c r="FX29" s="200"/>
    </row>
    <row r="30" spans="1:288" ht="15" customHeight="1" x14ac:dyDescent="0.2">
      <c r="A30" s="185" t="s">
        <v>289</v>
      </c>
      <c r="B30" s="189" t="s">
        <v>2839</v>
      </c>
      <c r="C30" s="189" t="s">
        <v>2917</v>
      </c>
      <c r="D30" s="211" t="s">
        <v>3175</v>
      </c>
      <c r="E30" s="53" t="s">
        <v>24</v>
      </c>
      <c r="F30" s="48" t="s">
        <v>24</v>
      </c>
      <c r="G30" s="53"/>
      <c r="H30" s="211" t="s">
        <v>3272</v>
      </c>
      <c r="I30" s="211" t="s">
        <v>3372</v>
      </c>
      <c r="J30" s="211" t="s">
        <v>472</v>
      </c>
      <c r="K30" s="190"/>
      <c r="L30" s="189">
        <v>1</v>
      </c>
      <c r="M30" s="211" t="s">
        <v>3483</v>
      </c>
      <c r="N30" s="211" t="s">
        <v>3583</v>
      </c>
      <c r="O30" s="189" t="s">
        <v>292</v>
      </c>
      <c r="P30" s="189" t="s">
        <v>293</v>
      </c>
      <c r="Q30" s="211">
        <v>27029</v>
      </c>
      <c r="R30" s="189" t="s">
        <v>294</v>
      </c>
      <c r="S30" s="189" t="s">
        <v>3017</v>
      </c>
      <c r="T30" s="189" t="s">
        <v>3108</v>
      </c>
      <c r="U30" s="211">
        <v>6</v>
      </c>
      <c r="V30" s="211" t="s">
        <v>3655</v>
      </c>
      <c r="W30" s="211" t="s">
        <v>3675</v>
      </c>
      <c r="X30" s="53"/>
      <c r="Y30" s="211">
        <v>1</v>
      </c>
      <c r="Z30" s="189" t="s">
        <v>556</v>
      </c>
      <c r="AA30" s="189" t="s">
        <v>3143</v>
      </c>
      <c r="AB30" s="189" t="s">
        <v>3144</v>
      </c>
      <c r="AC30" s="211" t="s">
        <v>3776</v>
      </c>
      <c r="AD30" s="164" t="b">
        <v>1</v>
      </c>
      <c r="AE30" s="192"/>
      <c r="AF30" s="193"/>
      <c r="AG30" s="193"/>
      <c r="AH30" s="193"/>
      <c r="AI30" s="193"/>
      <c r="AJ30" s="193"/>
      <c r="AK30" s="193"/>
      <c r="AL30" s="194"/>
      <c r="AM30" s="48"/>
      <c r="AN30" s="48"/>
      <c r="AO30" s="48"/>
      <c r="AP30" s="194"/>
      <c r="AQ30" s="194"/>
      <c r="AR30" s="194"/>
      <c r="AS30" s="194"/>
      <c r="AT30" s="194"/>
      <c r="AU30" s="194"/>
      <c r="AV30" s="194"/>
      <c r="AW30" s="194"/>
      <c r="AX30" s="194"/>
      <c r="AY30" s="194"/>
      <c r="AZ30" s="194"/>
      <c r="BA30" s="194"/>
      <c r="BB30" s="194"/>
      <c r="BC30" s="194"/>
      <c r="BD30" s="194"/>
      <c r="BE30" s="194"/>
      <c r="BF30" s="194"/>
      <c r="BG30" s="194"/>
      <c r="BH30" s="194"/>
      <c r="BI30" s="194"/>
      <c r="BJ30" s="194"/>
      <c r="BK30" s="194"/>
      <c r="BL30" s="194"/>
      <c r="BM30" s="194"/>
      <c r="BN30" s="194"/>
      <c r="BO30" s="194"/>
      <c r="BP30" s="194"/>
      <c r="BQ30" s="194"/>
      <c r="BR30" s="194"/>
      <c r="BS30" s="194"/>
      <c r="BT30" s="194"/>
      <c r="BU30" s="194"/>
      <c r="BV30" s="194"/>
      <c r="BW30" s="194"/>
      <c r="BX30" s="194"/>
      <c r="BY30" s="194"/>
      <c r="BZ30" s="194"/>
      <c r="CA30" s="194"/>
      <c r="CB30" s="194"/>
      <c r="CC30" s="194"/>
      <c r="CD30" s="194"/>
      <c r="CE30" s="194"/>
      <c r="CF30" s="194"/>
      <c r="CG30" s="194"/>
      <c r="CH30" s="194"/>
      <c r="CI30" s="194"/>
      <c r="CJ30" s="194"/>
      <c r="CK30" s="194"/>
      <c r="CL30" s="194"/>
      <c r="CM30" s="194"/>
      <c r="CN30" s="194"/>
      <c r="CO30" s="194"/>
      <c r="CP30" s="48"/>
      <c r="CQ30" s="194"/>
      <c r="CR30" s="194"/>
      <c r="CS30" s="194"/>
      <c r="CT30" s="194"/>
      <c r="CU30" s="194"/>
      <c r="CV30" s="194"/>
      <c r="CW30" s="194"/>
      <c r="CX30" s="194"/>
      <c r="CY30" s="194"/>
      <c r="CZ30" s="194"/>
      <c r="DA30" s="194"/>
      <c r="DB30" s="194"/>
      <c r="DC30" s="194"/>
      <c r="DD30" s="196"/>
      <c r="DE30" s="194"/>
      <c r="DF30" s="194"/>
      <c r="DG30" s="196"/>
      <c r="DH30" s="196"/>
      <c r="DI30" s="196"/>
      <c r="DJ30" s="194"/>
      <c r="DK30" s="194"/>
      <c r="DL30" s="194"/>
      <c r="DM30" s="194"/>
      <c r="DN30" s="194"/>
      <c r="DO30" s="194"/>
      <c r="DP30" s="194"/>
      <c r="DQ30" s="196"/>
      <c r="DR30" s="194"/>
      <c r="DS30" s="196"/>
      <c r="DT30" s="194"/>
      <c r="DU30" s="194"/>
      <c r="DV30" s="194"/>
      <c r="DW30" s="194"/>
      <c r="DX30" s="194"/>
      <c r="DY30" s="194"/>
      <c r="DZ30" s="194"/>
      <c r="EA30" s="194"/>
      <c r="EB30" s="194"/>
      <c r="EC30" s="194"/>
      <c r="ED30" s="194"/>
      <c r="EE30" s="194"/>
      <c r="EF30" s="194"/>
      <c r="EG30" s="194"/>
      <c r="EH30" s="194"/>
      <c r="EI30" s="194"/>
      <c r="EJ30" s="194"/>
      <c r="EK30" s="196"/>
      <c r="EL30" s="196"/>
      <c r="EM30" s="48"/>
      <c r="EN30" s="55"/>
      <c r="EO30" s="48"/>
      <c r="EP30" s="48"/>
      <c r="EQ30" s="196"/>
      <c r="ER30" s="194"/>
      <c r="ES30" s="48"/>
      <c r="ET30" s="194"/>
      <c r="EU30" s="194"/>
      <c r="EV30" s="194"/>
      <c r="EW30" s="211" t="s">
        <v>3874</v>
      </c>
      <c r="EX30" s="211" t="s">
        <v>3950</v>
      </c>
      <c r="EY30" s="211" t="s">
        <v>4012</v>
      </c>
      <c r="EZ30" s="211" t="s">
        <v>4074</v>
      </c>
      <c r="FA30" s="211" t="s">
        <v>4136</v>
      </c>
      <c r="FB30" s="211" t="s">
        <v>4200</v>
      </c>
      <c r="FC30" s="211" t="s">
        <v>4261</v>
      </c>
      <c r="FD30" s="211" t="s">
        <v>4322</v>
      </c>
      <c r="FE30" s="211" t="s">
        <v>4383</v>
      </c>
      <c r="FF30" s="194"/>
      <c r="FG30" s="194"/>
      <c r="FH30" s="194"/>
      <c r="FI30" s="194"/>
      <c r="FJ30" s="55"/>
      <c r="FK30" s="194"/>
      <c r="FL30" s="197"/>
      <c r="FM30" s="194"/>
      <c r="FN30" s="198"/>
      <c r="FO30" s="194"/>
      <c r="FP30" s="198"/>
      <c r="FQ30" s="194"/>
      <c r="FR30" s="43"/>
      <c r="FS30" s="194"/>
      <c r="FT30" s="194"/>
      <c r="FU30" s="194"/>
      <c r="FV30" s="199"/>
      <c r="FW30" s="194"/>
      <c r="FX30" s="200"/>
    </row>
    <row r="31" spans="1:288" ht="15" customHeight="1" x14ac:dyDescent="0.2">
      <c r="A31" s="143" t="s">
        <v>289</v>
      </c>
      <c r="B31" s="189" t="s">
        <v>2840</v>
      </c>
      <c r="C31" s="189" t="s">
        <v>2918</v>
      </c>
      <c r="D31" s="211" t="s">
        <v>3176</v>
      </c>
      <c r="E31" s="53" t="s">
        <v>24</v>
      </c>
      <c r="F31" s="53" t="s">
        <v>24</v>
      </c>
      <c r="G31" s="53"/>
      <c r="H31" s="211" t="s">
        <v>3273</v>
      </c>
      <c r="I31" s="211" t="s">
        <v>3373</v>
      </c>
      <c r="J31" s="211" t="s">
        <v>24</v>
      </c>
      <c r="K31" s="190"/>
      <c r="L31" s="189">
        <v>5</v>
      </c>
      <c r="M31" s="211" t="s">
        <v>3484</v>
      </c>
      <c r="N31" s="211" t="s">
        <v>3584</v>
      </c>
      <c r="O31" s="189" t="s">
        <v>292</v>
      </c>
      <c r="P31" s="189" t="s">
        <v>293</v>
      </c>
      <c r="Q31" s="211">
        <v>27030</v>
      </c>
      <c r="R31" s="189" t="s">
        <v>294</v>
      </c>
      <c r="S31" s="189" t="s">
        <v>3018</v>
      </c>
      <c r="T31" s="189" t="s">
        <v>650</v>
      </c>
      <c r="U31" s="211">
        <v>10</v>
      </c>
      <c r="V31" s="211" t="s">
        <v>3655</v>
      </c>
      <c r="W31" s="211" t="s">
        <v>3676</v>
      </c>
      <c r="X31" s="53"/>
      <c r="Y31" s="211">
        <v>1</v>
      </c>
      <c r="Z31" s="189" t="s">
        <v>556</v>
      </c>
      <c r="AA31" s="189" t="s">
        <v>3143</v>
      </c>
      <c r="AB31" s="189" t="s">
        <v>410</v>
      </c>
      <c r="AC31" s="211" t="s">
        <v>3777</v>
      </c>
      <c r="AD31" s="164" t="b">
        <v>1</v>
      </c>
      <c r="AE31" s="192"/>
      <c r="AF31" s="193"/>
      <c r="AG31" s="193"/>
      <c r="AH31" s="193"/>
      <c r="AI31" s="193"/>
      <c r="AJ31" s="193"/>
      <c r="AK31" s="193"/>
      <c r="AL31" s="194"/>
      <c r="AM31" s="48"/>
      <c r="AN31" s="48"/>
      <c r="AO31" s="48"/>
      <c r="AP31" s="194"/>
      <c r="AQ31" s="194"/>
      <c r="AR31" s="194"/>
      <c r="AS31" s="194"/>
      <c r="AT31" s="194"/>
      <c r="AU31" s="194"/>
      <c r="AV31" s="194"/>
      <c r="AW31" s="194"/>
      <c r="AX31" s="194"/>
      <c r="AY31" s="194"/>
      <c r="AZ31" s="194"/>
      <c r="BA31" s="194"/>
      <c r="BB31" s="194"/>
      <c r="BC31" s="194"/>
      <c r="BD31" s="194"/>
      <c r="BE31" s="194"/>
      <c r="BF31" s="194"/>
      <c r="BG31" s="194"/>
      <c r="BH31" s="194"/>
      <c r="BI31" s="194"/>
      <c r="BJ31" s="194"/>
      <c r="BK31" s="194"/>
      <c r="BL31" s="194"/>
      <c r="BM31" s="194"/>
      <c r="BN31" s="194"/>
      <c r="BO31" s="194"/>
      <c r="BP31" s="194"/>
      <c r="BQ31" s="194"/>
      <c r="BR31" s="194"/>
      <c r="BS31" s="194"/>
      <c r="BT31" s="194"/>
      <c r="BU31" s="194"/>
      <c r="BV31" s="194"/>
      <c r="BW31" s="194"/>
      <c r="BX31" s="194"/>
      <c r="BY31" s="194"/>
      <c r="BZ31" s="194"/>
      <c r="CA31" s="194"/>
      <c r="CB31" s="194"/>
      <c r="CC31" s="194"/>
      <c r="CD31" s="194"/>
      <c r="CE31" s="194"/>
      <c r="CF31" s="194"/>
      <c r="CG31" s="194"/>
      <c r="CH31" s="194"/>
      <c r="CI31" s="194"/>
      <c r="CJ31" s="194"/>
      <c r="CK31" s="194"/>
      <c r="CL31" s="194"/>
      <c r="CM31" s="194"/>
      <c r="CN31" s="194"/>
      <c r="CO31" s="194"/>
      <c r="CP31" s="48"/>
      <c r="CQ31" s="194"/>
      <c r="CR31" s="194"/>
      <c r="CS31" s="194"/>
      <c r="CT31" s="194"/>
      <c r="CU31" s="194"/>
      <c r="CV31" s="194"/>
      <c r="CW31" s="194"/>
      <c r="CX31" s="194"/>
      <c r="CY31" s="194"/>
      <c r="CZ31" s="194"/>
      <c r="DA31" s="194"/>
      <c r="DB31" s="194"/>
      <c r="DC31" s="194"/>
      <c r="DD31" s="196"/>
      <c r="DE31" s="194"/>
      <c r="DF31" s="194"/>
      <c r="DG31" s="196"/>
      <c r="DH31" s="196"/>
      <c r="DI31" s="196"/>
      <c r="DJ31" s="194"/>
      <c r="DK31" s="194"/>
      <c r="DL31" s="194"/>
      <c r="DM31" s="194"/>
      <c r="DN31" s="194"/>
      <c r="DO31" s="194"/>
      <c r="DP31" s="194"/>
      <c r="DQ31" s="196"/>
      <c r="DR31" s="194"/>
      <c r="DS31" s="196"/>
      <c r="DT31" s="194"/>
      <c r="DU31" s="194"/>
      <c r="DV31" s="194"/>
      <c r="DW31" s="194"/>
      <c r="DX31" s="194"/>
      <c r="DY31" s="194"/>
      <c r="DZ31" s="194"/>
      <c r="EA31" s="194"/>
      <c r="EB31" s="194"/>
      <c r="EC31" s="194"/>
      <c r="ED31" s="194"/>
      <c r="EE31" s="194"/>
      <c r="EF31" s="194"/>
      <c r="EG31" s="194"/>
      <c r="EH31" s="194"/>
      <c r="EI31" s="194"/>
      <c r="EJ31" s="194"/>
      <c r="EK31" s="196"/>
      <c r="EL31" s="196"/>
      <c r="EM31" s="48"/>
      <c r="EN31" s="55"/>
      <c r="EO31" s="48"/>
      <c r="EP31" s="48"/>
      <c r="EQ31" s="196"/>
      <c r="ER31" s="194"/>
      <c r="ES31" s="48"/>
      <c r="ET31" s="194"/>
      <c r="EU31" s="194"/>
      <c r="EV31" s="194"/>
      <c r="EW31" s="211" t="s">
        <v>3875</v>
      </c>
      <c r="EX31" s="211" t="s">
        <v>3951</v>
      </c>
      <c r="EY31" s="211" t="s">
        <v>4013</v>
      </c>
      <c r="EZ31" s="211" t="s">
        <v>4075</v>
      </c>
      <c r="FA31" s="211" t="s">
        <v>4137</v>
      </c>
      <c r="FB31" s="211" t="s">
        <v>4201</v>
      </c>
      <c r="FC31" s="211" t="s">
        <v>4262</v>
      </c>
      <c r="FD31" s="211" t="s">
        <v>4323</v>
      </c>
      <c r="FE31" s="211" t="s">
        <v>4384</v>
      </c>
      <c r="FF31" s="194"/>
      <c r="FG31" s="194"/>
      <c r="FH31" s="194"/>
      <c r="FI31" s="194"/>
      <c r="FJ31" s="55"/>
      <c r="FK31" s="194"/>
      <c r="FL31" s="197"/>
      <c r="FM31" s="194"/>
      <c r="FN31" s="198"/>
      <c r="FO31" s="194"/>
      <c r="FP31" s="198"/>
      <c r="FQ31" s="194"/>
      <c r="FR31" s="43"/>
      <c r="FS31" s="194"/>
      <c r="FT31" s="194"/>
      <c r="FU31" s="194"/>
      <c r="FV31" s="199"/>
      <c r="FW31" s="194"/>
      <c r="FX31" s="200"/>
    </row>
    <row r="32" spans="1:288" ht="15" customHeight="1" x14ac:dyDescent="0.2">
      <c r="A32" s="143" t="s">
        <v>289</v>
      </c>
      <c r="B32" s="189" t="s">
        <v>2841</v>
      </c>
      <c r="C32" s="189" t="s">
        <v>2919</v>
      </c>
      <c r="D32" s="211" t="s">
        <v>3177</v>
      </c>
      <c r="E32" s="53" t="s">
        <v>698</v>
      </c>
      <c r="F32" s="53" t="s">
        <v>24</v>
      </c>
      <c r="G32" s="53"/>
      <c r="H32" s="211" t="s">
        <v>3274</v>
      </c>
      <c r="I32" s="211" t="s">
        <v>3374</v>
      </c>
      <c r="J32" s="211" t="s">
        <v>472</v>
      </c>
      <c r="K32" s="190"/>
      <c r="L32" s="189">
        <v>1</v>
      </c>
      <c r="M32" s="211" t="s">
        <v>3485</v>
      </c>
      <c r="N32" s="211" t="s">
        <v>3585</v>
      </c>
      <c r="O32" s="189" t="s">
        <v>292</v>
      </c>
      <c r="P32" s="189" t="s">
        <v>293</v>
      </c>
      <c r="Q32" s="211">
        <v>27031</v>
      </c>
      <c r="R32" s="189" t="s">
        <v>294</v>
      </c>
      <c r="S32" s="189" t="s">
        <v>3019</v>
      </c>
      <c r="T32" s="189" t="s">
        <v>3094</v>
      </c>
      <c r="U32" s="211">
        <v>14</v>
      </c>
      <c r="V32" s="211" t="s">
        <v>3655</v>
      </c>
      <c r="W32" s="211" t="s">
        <v>3677</v>
      </c>
      <c r="X32" s="53"/>
      <c r="Y32" s="211">
        <v>1</v>
      </c>
      <c r="Z32" s="189" t="s">
        <v>298</v>
      </c>
      <c r="AA32" s="189" t="s">
        <v>3142</v>
      </c>
      <c r="AB32" s="189" t="s">
        <v>336</v>
      </c>
      <c r="AC32" s="211" t="s">
        <v>3778</v>
      </c>
      <c r="AD32" s="164" t="b">
        <v>0</v>
      </c>
      <c r="AE32" s="192"/>
      <c r="AF32" s="193"/>
      <c r="AG32" s="193"/>
      <c r="AH32" s="193"/>
      <c r="AI32" s="193"/>
      <c r="AJ32" s="193"/>
      <c r="AK32" s="193"/>
      <c r="AL32" s="194"/>
      <c r="AM32" s="48"/>
      <c r="AN32" s="48"/>
      <c r="AO32" s="48"/>
      <c r="AP32" s="194"/>
      <c r="AQ32" s="194"/>
      <c r="AR32" s="194"/>
      <c r="AS32" s="194"/>
      <c r="AT32" s="194"/>
      <c r="AU32" s="194"/>
      <c r="AV32" s="194"/>
      <c r="AW32" s="194"/>
      <c r="AX32" s="194"/>
      <c r="AY32" s="194"/>
      <c r="AZ32" s="194"/>
      <c r="BA32" s="194"/>
      <c r="BB32" s="194"/>
      <c r="BC32" s="194"/>
      <c r="BD32" s="194"/>
      <c r="BE32" s="194"/>
      <c r="BF32" s="194"/>
      <c r="BG32" s="194"/>
      <c r="BH32" s="194"/>
      <c r="BI32" s="194"/>
      <c r="BJ32" s="194"/>
      <c r="BK32" s="194"/>
      <c r="BL32" s="194"/>
      <c r="BM32" s="194"/>
      <c r="BN32" s="194"/>
      <c r="BO32" s="194"/>
      <c r="BP32" s="194"/>
      <c r="BQ32" s="194"/>
      <c r="BR32" s="194"/>
      <c r="BS32" s="194"/>
      <c r="BT32" s="194"/>
      <c r="BU32" s="194"/>
      <c r="BV32" s="194"/>
      <c r="BW32" s="194"/>
      <c r="BX32" s="194"/>
      <c r="BY32" s="194"/>
      <c r="BZ32" s="194"/>
      <c r="CA32" s="194"/>
      <c r="CB32" s="194"/>
      <c r="CC32" s="194"/>
      <c r="CD32" s="194"/>
      <c r="CE32" s="194"/>
      <c r="CF32" s="194"/>
      <c r="CG32" s="194"/>
      <c r="CH32" s="194"/>
      <c r="CI32" s="194"/>
      <c r="CJ32" s="194"/>
      <c r="CK32" s="194"/>
      <c r="CL32" s="194"/>
      <c r="CM32" s="194"/>
      <c r="CN32" s="194"/>
      <c r="CO32" s="194"/>
      <c r="CP32" s="48"/>
      <c r="CQ32" s="194"/>
      <c r="CR32" s="194"/>
      <c r="CS32" s="194"/>
      <c r="CT32" s="194"/>
      <c r="CU32" s="194"/>
      <c r="CV32" s="194"/>
      <c r="CW32" s="194"/>
      <c r="CX32" s="194"/>
      <c r="CY32" s="194"/>
      <c r="CZ32" s="194"/>
      <c r="DA32" s="194"/>
      <c r="DB32" s="194"/>
      <c r="DC32" s="194"/>
      <c r="DD32" s="196"/>
      <c r="DE32" s="194"/>
      <c r="DF32" s="194"/>
      <c r="DG32" s="196"/>
      <c r="DH32" s="196"/>
      <c r="DI32" s="196"/>
      <c r="DJ32" s="194"/>
      <c r="DK32" s="194"/>
      <c r="DL32" s="194"/>
      <c r="DM32" s="194"/>
      <c r="DN32" s="194"/>
      <c r="DO32" s="194"/>
      <c r="DP32" s="194"/>
      <c r="DQ32" s="196"/>
      <c r="DR32" s="194"/>
      <c r="DS32" s="196"/>
      <c r="DT32" s="194"/>
      <c r="DU32" s="194"/>
      <c r="DV32" s="194"/>
      <c r="DW32" s="194"/>
      <c r="DX32" s="194"/>
      <c r="DY32" s="194"/>
      <c r="DZ32" s="194"/>
      <c r="EA32" s="194"/>
      <c r="EB32" s="194"/>
      <c r="EC32" s="194"/>
      <c r="ED32" s="194"/>
      <c r="EE32" s="194"/>
      <c r="EF32" s="194"/>
      <c r="EG32" s="194"/>
      <c r="EH32" s="194"/>
      <c r="EI32" s="194"/>
      <c r="EJ32" s="194"/>
      <c r="EK32" s="196"/>
      <c r="EL32" s="196"/>
      <c r="EM32" s="48"/>
      <c r="EN32" s="55"/>
      <c r="EO32" s="48"/>
      <c r="EP32" s="48"/>
      <c r="EQ32" s="196"/>
      <c r="ER32" s="194"/>
      <c r="ES32" s="48"/>
      <c r="ET32" s="194"/>
      <c r="EU32" s="194"/>
      <c r="EV32" s="194"/>
      <c r="EW32" s="211" t="s">
        <v>3848</v>
      </c>
      <c r="EX32" s="211" t="s">
        <v>3952</v>
      </c>
      <c r="EY32" s="211" t="s">
        <v>4014</v>
      </c>
      <c r="EZ32" s="211" t="s">
        <v>4076</v>
      </c>
      <c r="FA32" s="211" t="s">
        <v>4138</v>
      </c>
      <c r="FB32" s="211" t="s">
        <v>4202</v>
      </c>
      <c r="FC32" s="211" t="s">
        <v>4263</v>
      </c>
      <c r="FD32" s="211" t="s">
        <v>4324</v>
      </c>
      <c r="FE32" s="211" t="s">
        <v>4385</v>
      </c>
      <c r="FF32" s="194"/>
      <c r="FG32" s="194"/>
      <c r="FH32" s="194"/>
      <c r="FI32" s="194"/>
      <c r="FJ32" s="55"/>
      <c r="FK32" s="194"/>
      <c r="FL32" s="197"/>
      <c r="FM32" s="194"/>
      <c r="FN32" s="198"/>
      <c r="FO32" s="194"/>
      <c r="FP32" s="198"/>
      <c r="FQ32" s="194"/>
      <c r="FR32" s="43"/>
      <c r="FS32" s="194"/>
      <c r="FT32" s="194"/>
      <c r="FU32" s="194"/>
      <c r="FV32" s="199"/>
      <c r="FW32" s="194"/>
      <c r="FX32" s="200"/>
    </row>
    <row r="33" spans="1:180" ht="15" customHeight="1" x14ac:dyDescent="0.2">
      <c r="A33" s="184" t="s">
        <v>289</v>
      </c>
      <c r="B33" s="189" t="s">
        <v>2842</v>
      </c>
      <c r="C33" s="189" t="s">
        <v>2920</v>
      </c>
      <c r="D33" s="211" t="s">
        <v>3178</v>
      </c>
      <c r="E33" s="70" t="s">
        <v>24</v>
      </c>
      <c r="F33" s="53" t="s">
        <v>407</v>
      </c>
      <c r="G33" s="53"/>
      <c r="H33" s="211" t="s">
        <v>3275</v>
      </c>
      <c r="I33" s="211" t="s">
        <v>3375</v>
      </c>
      <c r="J33" s="211" t="s">
        <v>833</v>
      </c>
      <c r="K33" s="190"/>
      <c r="L33" s="189">
        <v>6</v>
      </c>
      <c r="M33" s="211" t="s">
        <v>3486</v>
      </c>
      <c r="N33" s="211" t="s">
        <v>3586</v>
      </c>
      <c r="O33" s="189" t="s">
        <v>292</v>
      </c>
      <c r="P33" s="189" t="s">
        <v>293</v>
      </c>
      <c r="Q33" s="211">
        <v>27032</v>
      </c>
      <c r="R33" s="189" t="s">
        <v>294</v>
      </c>
      <c r="S33" s="189" t="s">
        <v>3020</v>
      </c>
      <c r="T33" s="189" t="s">
        <v>3109</v>
      </c>
      <c r="U33" s="211">
        <v>5</v>
      </c>
      <c r="V33" s="211" t="s">
        <v>3655</v>
      </c>
      <c r="W33" s="211" t="s">
        <v>3678</v>
      </c>
      <c r="X33" s="53"/>
      <c r="Y33" s="211">
        <v>1</v>
      </c>
      <c r="Z33" s="189" t="s">
        <v>1120</v>
      </c>
      <c r="AA33" s="189" t="s">
        <v>3142</v>
      </c>
      <c r="AB33" s="189" t="s">
        <v>3144</v>
      </c>
      <c r="AC33" s="211" t="s">
        <v>3779</v>
      </c>
      <c r="AD33" s="164" t="b">
        <v>0</v>
      </c>
      <c r="AE33" s="192"/>
      <c r="AF33" s="193"/>
      <c r="AG33" s="193"/>
      <c r="AH33" s="193"/>
      <c r="AI33" s="193"/>
      <c r="AJ33" s="193"/>
      <c r="AK33" s="193"/>
      <c r="AL33" s="194"/>
      <c r="AM33" s="48"/>
      <c r="AN33" s="48"/>
      <c r="AO33" s="48"/>
      <c r="AP33" s="194"/>
      <c r="AQ33" s="194"/>
      <c r="AR33" s="194"/>
      <c r="AS33" s="194"/>
      <c r="AT33" s="194"/>
      <c r="AU33" s="194"/>
      <c r="AV33" s="194"/>
      <c r="AW33" s="194"/>
      <c r="AX33" s="194"/>
      <c r="AY33" s="194"/>
      <c r="AZ33" s="194"/>
      <c r="BA33" s="194"/>
      <c r="BB33" s="194"/>
      <c r="BC33" s="194"/>
      <c r="BD33" s="194"/>
      <c r="BE33" s="194"/>
      <c r="BF33" s="194"/>
      <c r="BG33" s="194"/>
      <c r="BH33" s="194"/>
      <c r="BI33" s="194"/>
      <c r="BJ33" s="194"/>
      <c r="BK33" s="194"/>
      <c r="BL33" s="194"/>
      <c r="BM33" s="194"/>
      <c r="BN33" s="194"/>
      <c r="BO33" s="194"/>
      <c r="BP33" s="194"/>
      <c r="BQ33" s="194"/>
      <c r="BR33" s="194"/>
      <c r="BS33" s="194"/>
      <c r="BT33" s="194"/>
      <c r="BU33" s="194"/>
      <c r="BV33" s="194"/>
      <c r="BW33" s="194"/>
      <c r="BX33" s="194"/>
      <c r="BY33" s="194"/>
      <c r="BZ33" s="194"/>
      <c r="CA33" s="194"/>
      <c r="CB33" s="194"/>
      <c r="CC33" s="194"/>
      <c r="CD33" s="194"/>
      <c r="CE33" s="194"/>
      <c r="CF33" s="194"/>
      <c r="CG33" s="194"/>
      <c r="CH33" s="194"/>
      <c r="CI33" s="194"/>
      <c r="CJ33" s="194"/>
      <c r="CK33" s="194"/>
      <c r="CL33" s="194"/>
      <c r="CM33" s="194"/>
      <c r="CN33" s="194"/>
      <c r="CO33" s="194"/>
      <c r="CP33" s="48"/>
      <c r="CQ33" s="194"/>
      <c r="CR33" s="194"/>
      <c r="CS33" s="194"/>
      <c r="CT33" s="194"/>
      <c r="CU33" s="194"/>
      <c r="CV33" s="194"/>
      <c r="CW33" s="194"/>
      <c r="CX33" s="194"/>
      <c r="CY33" s="194"/>
      <c r="CZ33" s="194"/>
      <c r="DA33" s="194"/>
      <c r="DB33" s="194"/>
      <c r="DC33" s="194"/>
      <c r="DD33" s="196"/>
      <c r="DE33" s="194"/>
      <c r="DF33" s="194"/>
      <c r="DG33" s="196"/>
      <c r="DH33" s="196"/>
      <c r="DI33" s="196"/>
      <c r="DJ33" s="194"/>
      <c r="DK33" s="194"/>
      <c r="DL33" s="194"/>
      <c r="DM33" s="194"/>
      <c r="DN33" s="194"/>
      <c r="DO33" s="194"/>
      <c r="DP33" s="194"/>
      <c r="DQ33" s="196"/>
      <c r="DR33" s="194"/>
      <c r="DS33" s="196"/>
      <c r="DT33" s="194"/>
      <c r="DU33" s="194"/>
      <c r="DV33" s="194"/>
      <c r="DW33" s="194"/>
      <c r="DX33" s="194"/>
      <c r="DY33" s="194"/>
      <c r="DZ33" s="194"/>
      <c r="EA33" s="194"/>
      <c r="EB33" s="194"/>
      <c r="EC33" s="194"/>
      <c r="ED33" s="194"/>
      <c r="EE33" s="194"/>
      <c r="EF33" s="194"/>
      <c r="EG33" s="194"/>
      <c r="EH33" s="194"/>
      <c r="EI33" s="194"/>
      <c r="EJ33" s="194"/>
      <c r="EK33" s="196"/>
      <c r="EL33" s="196"/>
      <c r="EM33" s="48"/>
      <c r="EN33" s="55"/>
      <c r="EO33" s="48"/>
      <c r="EP33" s="48"/>
      <c r="EQ33" s="196"/>
      <c r="ER33" s="194"/>
      <c r="ES33" s="48"/>
      <c r="ET33" s="194"/>
      <c r="EU33" s="194"/>
      <c r="EV33" s="194"/>
      <c r="EW33" s="211" t="s">
        <v>3876</v>
      </c>
      <c r="EX33" s="211" t="s">
        <v>3939</v>
      </c>
      <c r="EY33" s="211" t="s">
        <v>4001</v>
      </c>
      <c r="EZ33" s="211" t="s">
        <v>4063</v>
      </c>
      <c r="FA33" s="211" t="s">
        <v>4125</v>
      </c>
      <c r="FB33" s="211" t="s">
        <v>4189</v>
      </c>
      <c r="FC33" s="211" t="s">
        <v>4250</v>
      </c>
      <c r="FD33" s="211" t="s">
        <v>4311</v>
      </c>
      <c r="FE33" s="211" t="s">
        <v>4372</v>
      </c>
      <c r="FF33" s="194"/>
      <c r="FG33" s="194"/>
      <c r="FH33" s="194"/>
      <c r="FI33" s="194"/>
      <c r="FJ33" s="55"/>
      <c r="FK33" s="194"/>
      <c r="FL33" s="197"/>
      <c r="FM33" s="194"/>
      <c r="FN33" s="198"/>
      <c r="FO33" s="194"/>
      <c r="FP33" s="198"/>
      <c r="FQ33" s="194"/>
      <c r="FR33" s="43"/>
      <c r="FS33" s="194"/>
      <c r="FT33" s="194"/>
      <c r="FU33" s="194"/>
      <c r="FV33" s="199"/>
      <c r="FW33" s="194"/>
      <c r="FX33" s="200"/>
    </row>
    <row r="34" spans="1:180" ht="15" customHeight="1" x14ac:dyDescent="0.2">
      <c r="A34" s="143" t="s">
        <v>289</v>
      </c>
      <c r="B34" s="189" t="s">
        <v>2823</v>
      </c>
      <c r="C34" s="189" t="s">
        <v>2921</v>
      </c>
      <c r="D34" s="211" t="s">
        <v>3179</v>
      </c>
      <c r="E34" s="53" t="s">
        <v>472</v>
      </c>
      <c r="F34" s="53" t="s">
        <v>24</v>
      </c>
      <c r="G34" s="53"/>
      <c r="H34" s="211" t="s">
        <v>3276</v>
      </c>
      <c r="I34" s="211" t="s">
        <v>3376</v>
      </c>
      <c r="J34" s="211" t="s">
        <v>870</v>
      </c>
      <c r="K34" s="190"/>
      <c r="L34" s="189">
        <v>4</v>
      </c>
      <c r="M34" s="211" t="s">
        <v>3487</v>
      </c>
      <c r="N34" s="211" t="s">
        <v>3587</v>
      </c>
      <c r="O34" s="189" t="s">
        <v>292</v>
      </c>
      <c r="P34" s="189" t="s">
        <v>293</v>
      </c>
      <c r="Q34" s="211">
        <v>27033</v>
      </c>
      <c r="R34" s="189" t="s">
        <v>294</v>
      </c>
      <c r="S34" s="189" t="s">
        <v>3021</v>
      </c>
      <c r="T34" s="189" t="s">
        <v>3110</v>
      </c>
      <c r="U34" s="211">
        <v>9</v>
      </c>
      <c r="V34" s="211" t="s">
        <v>3655</v>
      </c>
      <c r="W34" s="211" t="s">
        <v>3679</v>
      </c>
      <c r="X34" s="53"/>
      <c r="Y34" s="211">
        <v>2</v>
      </c>
      <c r="Z34" s="189" t="s">
        <v>3141</v>
      </c>
      <c r="AA34" s="189" t="s">
        <v>3142</v>
      </c>
      <c r="AB34" s="189" t="s">
        <v>410</v>
      </c>
      <c r="AC34" s="211" t="s">
        <v>3780</v>
      </c>
      <c r="AD34" s="164" t="b">
        <v>1</v>
      </c>
      <c r="AE34" s="192"/>
      <c r="AF34" s="193"/>
      <c r="AG34" s="193"/>
      <c r="AH34" s="193"/>
      <c r="AI34" s="193"/>
      <c r="AJ34" s="193"/>
      <c r="AK34" s="193"/>
      <c r="AL34" s="194"/>
      <c r="AM34" s="48"/>
      <c r="AN34" s="48"/>
      <c r="AO34" s="48"/>
      <c r="AP34" s="194"/>
      <c r="AQ34" s="194"/>
      <c r="AR34" s="194"/>
      <c r="AS34" s="194"/>
      <c r="AT34" s="194"/>
      <c r="AU34" s="194"/>
      <c r="AV34" s="194"/>
      <c r="AW34" s="194"/>
      <c r="AX34" s="194"/>
      <c r="AY34" s="194"/>
      <c r="AZ34" s="194"/>
      <c r="BA34" s="194"/>
      <c r="BB34" s="194"/>
      <c r="BC34" s="194"/>
      <c r="BD34" s="194"/>
      <c r="BE34" s="194"/>
      <c r="BF34" s="194"/>
      <c r="BG34" s="194"/>
      <c r="BH34" s="194"/>
      <c r="BI34" s="194"/>
      <c r="BJ34" s="194"/>
      <c r="BK34" s="194"/>
      <c r="BL34" s="194"/>
      <c r="BM34" s="194"/>
      <c r="BN34" s="194"/>
      <c r="BO34" s="194"/>
      <c r="BP34" s="194"/>
      <c r="BQ34" s="194"/>
      <c r="BR34" s="194"/>
      <c r="BS34" s="194"/>
      <c r="BT34" s="194"/>
      <c r="BU34" s="194"/>
      <c r="BV34" s="194"/>
      <c r="BW34" s="194"/>
      <c r="BX34" s="194"/>
      <c r="BY34" s="194"/>
      <c r="BZ34" s="194"/>
      <c r="CA34" s="194"/>
      <c r="CB34" s="194"/>
      <c r="CC34" s="194"/>
      <c r="CD34" s="194"/>
      <c r="CE34" s="194"/>
      <c r="CF34" s="194"/>
      <c r="CG34" s="194"/>
      <c r="CH34" s="194"/>
      <c r="CI34" s="194"/>
      <c r="CJ34" s="194"/>
      <c r="CK34" s="194"/>
      <c r="CL34" s="194"/>
      <c r="CM34" s="194"/>
      <c r="CN34" s="194"/>
      <c r="CO34" s="194"/>
      <c r="CP34" s="48"/>
      <c r="CQ34" s="194"/>
      <c r="CR34" s="194"/>
      <c r="CS34" s="194"/>
      <c r="CT34" s="194"/>
      <c r="CU34" s="194"/>
      <c r="CV34" s="194"/>
      <c r="CW34" s="194"/>
      <c r="CX34" s="194"/>
      <c r="CY34" s="194"/>
      <c r="CZ34" s="194"/>
      <c r="DA34" s="194"/>
      <c r="DB34" s="194"/>
      <c r="DC34" s="194"/>
      <c r="DD34" s="196"/>
      <c r="DE34" s="194"/>
      <c r="DF34" s="194"/>
      <c r="DG34" s="196"/>
      <c r="DH34" s="196"/>
      <c r="DI34" s="196"/>
      <c r="DJ34" s="194"/>
      <c r="DK34" s="194"/>
      <c r="DL34" s="194"/>
      <c r="DM34" s="194"/>
      <c r="DN34" s="194"/>
      <c r="DO34" s="194"/>
      <c r="DP34" s="194"/>
      <c r="DQ34" s="196"/>
      <c r="DR34" s="194"/>
      <c r="DS34" s="196"/>
      <c r="DT34" s="194"/>
      <c r="DU34" s="194"/>
      <c r="DV34" s="194"/>
      <c r="DW34" s="194"/>
      <c r="DX34" s="194"/>
      <c r="DY34" s="194"/>
      <c r="DZ34" s="194"/>
      <c r="EA34" s="194"/>
      <c r="EB34" s="194"/>
      <c r="EC34" s="194"/>
      <c r="ED34" s="194"/>
      <c r="EE34" s="194"/>
      <c r="EF34" s="194"/>
      <c r="EG34" s="194"/>
      <c r="EH34" s="194"/>
      <c r="EI34" s="194"/>
      <c r="EJ34" s="194"/>
      <c r="EK34" s="196"/>
      <c r="EL34" s="196"/>
      <c r="EM34" s="48"/>
      <c r="EN34" s="55"/>
      <c r="EO34" s="48"/>
      <c r="EP34" s="48"/>
      <c r="EQ34" s="196"/>
      <c r="ER34" s="194"/>
      <c r="ES34" s="48"/>
      <c r="ET34" s="194"/>
      <c r="EU34" s="194"/>
      <c r="EV34" s="194"/>
      <c r="EW34" s="211" t="s">
        <v>3877</v>
      </c>
      <c r="EX34" s="211" t="s">
        <v>3953</v>
      </c>
      <c r="EY34" s="211" t="s">
        <v>4015</v>
      </c>
      <c r="EZ34" s="211" t="s">
        <v>4077</v>
      </c>
      <c r="FA34" s="211" t="s">
        <v>4139</v>
      </c>
      <c r="FB34" s="211" t="s">
        <v>4203</v>
      </c>
      <c r="FC34" s="211" t="s">
        <v>4264</v>
      </c>
      <c r="FD34" s="211" t="s">
        <v>4325</v>
      </c>
      <c r="FE34" s="211" t="s">
        <v>4386</v>
      </c>
      <c r="FF34" s="194"/>
      <c r="FG34" s="194"/>
      <c r="FH34" s="194"/>
      <c r="FI34" s="194"/>
      <c r="FJ34" s="55"/>
      <c r="FK34" s="194"/>
      <c r="FL34" s="197"/>
      <c r="FM34" s="194"/>
      <c r="FN34" s="198"/>
      <c r="FO34" s="194"/>
      <c r="FP34" s="198"/>
      <c r="FQ34" s="194"/>
      <c r="FR34" s="43"/>
      <c r="FS34" s="194"/>
      <c r="FT34" s="194"/>
      <c r="FU34" s="194"/>
      <c r="FV34" s="199"/>
      <c r="FW34" s="194"/>
      <c r="FX34" s="200"/>
    </row>
    <row r="35" spans="1:180" ht="15" customHeight="1" x14ac:dyDescent="0.2">
      <c r="A35" s="96" t="s">
        <v>289</v>
      </c>
      <c r="B35" s="189" t="s">
        <v>2843</v>
      </c>
      <c r="C35" s="189" t="s">
        <v>2922</v>
      </c>
      <c r="D35" s="211" t="s">
        <v>3180</v>
      </c>
      <c r="E35" s="53" t="s">
        <v>24</v>
      </c>
      <c r="F35" s="53" t="s">
        <v>472</v>
      </c>
      <c r="G35" s="53"/>
      <c r="H35" s="211" t="s">
        <v>3277</v>
      </c>
      <c r="I35" s="211" t="s">
        <v>3377</v>
      </c>
      <c r="J35" s="211" t="s">
        <v>472</v>
      </c>
      <c r="K35" s="190"/>
      <c r="L35" s="189">
        <v>2</v>
      </c>
      <c r="M35" s="211" t="s">
        <v>3488</v>
      </c>
      <c r="N35" s="211" t="s">
        <v>3588</v>
      </c>
      <c r="O35" s="189" t="s">
        <v>292</v>
      </c>
      <c r="P35" s="189" t="s">
        <v>293</v>
      </c>
      <c r="Q35" s="211">
        <v>27034</v>
      </c>
      <c r="R35" s="189" t="s">
        <v>294</v>
      </c>
      <c r="S35" s="189" t="s">
        <v>3022</v>
      </c>
      <c r="T35" s="189" t="s">
        <v>473</v>
      </c>
      <c r="U35" s="211">
        <v>11</v>
      </c>
      <c r="V35" s="211" t="s">
        <v>3655</v>
      </c>
      <c r="W35" s="211" t="s">
        <v>3680</v>
      </c>
      <c r="X35" s="53"/>
      <c r="Y35" s="211">
        <v>1</v>
      </c>
      <c r="Z35" s="189" t="s">
        <v>3141</v>
      </c>
      <c r="AA35" s="189" t="s">
        <v>3143</v>
      </c>
      <c r="AB35" s="189" t="s">
        <v>3145</v>
      </c>
      <c r="AC35" s="211" t="s">
        <v>3781</v>
      </c>
      <c r="AD35" s="164" t="b">
        <v>1</v>
      </c>
      <c r="AE35" s="192"/>
      <c r="AF35" s="193"/>
      <c r="AG35" s="193"/>
      <c r="AH35" s="193"/>
      <c r="AI35" s="193"/>
      <c r="AJ35" s="193"/>
      <c r="AK35" s="193"/>
      <c r="AL35" s="194"/>
      <c r="AM35" s="48"/>
      <c r="AN35" s="48"/>
      <c r="AO35" s="48"/>
      <c r="AP35" s="194"/>
      <c r="AQ35" s="194"/>
      <c r="AR35" s="194"/>
      <c r="AS35" s="194"/>
      <c r="AT35" s="194"/>
      <c r="AU35" s="194"/>
      <c r="AV35" s="194"/>
      <c r="AW35" s="194"/>
      <c r="AX35" s="194"/>
      <c r="AY35" s="194"/>
      <c r="AZ35" s="194"/>
      <c r="BA35" s="194"/>
      <c r="BB35" s="194"/>
      <c r="BC35" s="194"/>
      <c r="BD35" s="194"/>
      <c r="BE35" s="194"/>
      <c r="BF35" s="194"/>
      <c r="BG35" s="194"/>
      <c r="BH35" s="194"/>
      <c r="BI35" s="194"/>
      <c r="BJ35" s="194"/>
      <c r="BK35" s="194"/>
      <c r="BL35" s="194"/>
      <c r="BM35" s="194"/>
      <c r="BN35" s="194"/>
      <c r="BO35" s="194"/>
      <c r="BP35" s="194"/>
      <c r="BQ35" s="194"/>
      <c r="BR35" s="194"/>
      <c r="BS35" s="194"/>
      <c r="BT35" s="194"/>
      <c r="BU35" s="194"/>
      <c r="BV35" s="194"/>
      <c r="BW35" s="194"/>
      <c r="BX35" s="194"/>
      <c r="BY35" s="194"/>
      <c r="BZ35" s="194"/>
      <c r="CA35" s="194"/>
      <c r="CB35" s="194"/>
      <c r="CC35" s="194"/>
      <c r="CD35" s="194"/>
      <c r="CE35" s="194"/>
      <c r="CF35" s="194"/>
      <c r="CG35" s="194"/>
      <c r="CH35" s="194"/>
      <c r="CI35" s="194"/>
      <c r="CJ35" s="194"/>
      <c r="CK35" s="194"/>
      <c r="CL35" s="194"/>
      <c r="CM35" s="194"/>
      <c r="CN35" s="194"/>
      <c r="CO35" s="194"/>
      <c r="CP35" s="48"/>
      <c r="CQ35" s="194"/>
      <c r="CR35" s="194"/>
      <c r="CS35" s="194"/>
      <c r="CT35" s="194"/>
      <c r="CU35" s="194"/>
      <c r="CV35" s="194"/>
      <c r="CW35" s="194"/>
      <c r="CX35" s="194"/>
      <c r="CY35" s="194"/>
      <c r="CZ35" s="194"/>
      <c r="DA35" s="194"/>
      <c r="DB35" s="194"/>
      <c r="DC35" s="194"/>
      <c r="DD35" s="196"/>
      <c r="DE35" s="194"/>
      <c r="DF35" s="194"/>
      <c r="DG35" s="196"/>
      <c r="DH35" s="196"/>
      <c r="DI35" s="196"/>
      <c r="DJ35" s="194"/>
      <c r="DK35" s="194"/>
      <c r="DL35" s="194"/>
      <c r="DM35" s="194"/>
      <c r="DN35" s="194"/>
      <c r="DO35" s="194"/>
      <c r="DP35" s="194"/>
      <c r="DQ35" s="196"/>
      <c r="DR35" s="194"/>
      <c r="DS35" s="196"/>
      <c r="DT35" s="194"/>
      <c r="DU35" s="194"/>
      <c r="DV35" s="194"/>
      <c r="DW35" s="194"/>
      <c r="DX35" s="194"/>
      <c r="DY35" s="194"/>
      <c r="DZ35" s="194"/>
      <c r="EA35" s="194"/>
      <c r="EB35" s="194"/>
      <c r="EC35" s="194"/>
      <c r="ED35" s="194"/>
      <c r="EE35" s="194"/>
      <c r="EF35" s="194"/>
      <c r="EG35" s="194"/>
      <c r="EH35" s="194"/>
      <c r="EI35" s="194"/>
      <c r="EJ35" s="194"/>
      <c r="EK35" s="196"/>
      <c r="EL35" s="196"/>
      <c r="EM35" s="48"/>
      <c r="EN35" s="55"/>
      <c r="EO35" s="48"/>
      <c r="EP35" s="48"/>
      <c r="EQ35" s="196"/>
      <c r="ER35" s="194"/>
      <c r="ES35" s="48"/>
      <c r="ET35" s="194"/>
      <c r="EU35" s="194"/>
      <c r="EV35" s="194"/>
      <c r="EW35" s="211" t="s">
        <v>3878</v>
      </c>
      <c r="EX35" s="211" t="s">
        <v>3936</v>
      </c>
      <c r="EY35" s="211" t="s">
        <v>3998</v>
      </c>
      <c r="EZ35" s="211" t="s">
        <v>4060</v>
      </c>
      <c r="FA35" s="211" t="s">
        <v>4122</v>
      </c>
      <c r="FB35" s="211" t="s">
        <v>4186</v>
      </c>
      <c r="FC35" s="211" t="s">
        <v>4247</v>
      </c>
      <c r="FD35" s="211" t="s">
        <v>4308</v>
      </c>
      <c r="FE35" s="211" t="s">
        <v>4369</v>
      </c>
      <c r="FF35" s="194"/>
      <c r="FG35" s="194"/>
      <c r="FH35" s="194"/>
      <c r="FI35" s="194"/>
      <c r="FJ35" s="55"/>
      <c r="FK35" s="194"/>
      <c r="FL35" s="197"/>
      <c r="FM35" s="194"/>
      <c r="FN35" s="198"/>
      <c r="FO35" s="194"/>
      <c r="FP35" s="198"/>
      <c r="FQ35" s="194"/>
      <c r="FR35" s="43"/>
      <c r="FS35" s="194"/>
      <c r="FT35" s="194"/>
      <c r="FU35" s="194"/>
      <c r="FV35" s="199"/>
      <c r="FW35" s="194"/>
      <c r="FX35" s="200"/>
    </row>
    <row r="36" spans="1:180" ht="15" customHeight="1" x14ac:dyDescent="0.2">
      <c r="A36" s="68" t="s">
        <v>289</v>
      </c>
      <c r="B36" s="189" t="s">
        <v>2844</v>
      </c>
      <c r="C36" s="189" t="s">
        <v>2923</v>
      </c>
      <c r="D36" s="211" t="s">
        <v>3181</v>
      </c>
      <c r="E36" s="53" t="s">
        <v>24</v>
      </c>
      <c r="F36" s="48" t="s">
        <v>24</v>
      </c>
      <c r="G36" s="53"/>
      <c r="H36" s="211" t="s">
        <v>3278</v>
      </c>
      <c r="I36" s="211" t="s">
        <v>3378</v>
      </c>
      <c r="J36" s="211" t="s">
        <v>24</v>
      </c>
      <c r="K36" s="190"/>
      <c r="L36" s="189">
        <v>2</v>
      </c>
      <c r="M36" s="211" t="s">
        <v>3489</v>
      </c>
      <c r="N36" s="211" t="s">
        <v>3589</v>
      </c>
      <c r="O36" s="189" t="s">
        <v>292</v>
      </c>
      <c r="P36" s="189" t="s">
        <v>293</v>
      </c>
      <c r="Q36" s="211">
        <v>27035</v>
      </c>
      <c r="R36" s="189" t="s">
        <v>294</v>
      </c>
      <c r="S36" s="189" t="s">
        <v>3023</v>
      </c>
      <c r="T36" s="189" t="s">
        <v>3111</v>
      </c>
      <c r="U36" s="211">
        <v>13</v>
      </c>
      <c r="V36" s="211" t="s">
        <v>3655</v>
      </c>
      <c r="W36" s="211" t="s">
        <v>3681</v>
      </c>
      <c r="X36" s="53"/>
      <c r="Y36" s="211">
        <v>1</v>
      </c>
      <c r="Z36" s="189" t="s">
        <v>298</v>
      </c>
      <c r="AA36" s="189" t="s">
        <v>3142</v>
      </c>
      <c r="AB36" s="189" t="s">
        <v>766</v>
      </c>
      <c r="AC36" s="211" t="s">
        <v>3782</v>
      </c>
      <c r="AD36" s="164" t="b">
        <v>1</v>
      </c>
      <c r="AE36" s="192"/>
      <c r="AF36" s="193"/>
      <c r="AG36" s="193"/>
      <c r="AH36" s="193"/>
      <c r="AI36" s="193"/>
      <c r="AJ36" s="193"/>
      <c r="AK36" s="193"/>
      <c r="AL36" s="194"/>
      <c r="AM36" s="48"/>
      <c r="AN36" s="48"/>
      <c r="AO36" s="48"/>
      <c r="AP36" s="194"/>
      <c r="AQ36" s="194"/>
      <c r="AR36" s="194"/>
      <c r="AS36" s="194"/>
      <c r="AT36" s="194"/>
      <c r="AU36" s="194"/>
      <c r="AV36" s="194"/>
      <c r="AW36" s="194"/>
      <c r="AX36" s="194"/>
      <c r="AY36" s="194"/>
      <c r="AZ36" s="194"/>
      <c r="BA36" s="194"/>
      <c r="BB36" s="194"/>
      <c r="BC36" s="194"/>
      <c r="BD36" s="194"/>
      <c r="BE36" s="194"/>
      <c r="BF36" s="194"/>
      <c r="BG36" s="194"/>
      <c r="BH36" s="194"/>
      <c r="BI36" s="194"/>
      <c r="BJ36" s="194"/>
      <c r="BK36" s="194"/>
      <c r="BL36" s="194"/>
      <c r="BM36" s="194"/>
      <c r="BN36" s="194"/>
      <c r="BO36" s="194"/>
      <c r="BP36" s="194"/>
      <c r="BQ36" s="194"/>
      <c r="BR36" s="194"/>
      <c r="BS36" s="194"/>
      <c r="BT36" s="194"/>
      <c r="BU36" s="194"/>
      <c r="BV36" s="194"/>
      <c r="BW36" s="194"/>
      <c r="BX36" s="194"/>
      <c r="BY36" s="194"/>
      <c r="BZ36" s="194"/>
      <c r="CA36" s="194"/>
      <c r="CB36" s="194"/>
      <c r="CC36" s="194"/>
      <c r="CD36" s="194"/>
      <c r="CE36" s="194"/>
      <c r="CF36" s="194"/>
      <c r="CG36" s="194"/>
      <c r="CH36" s="194"/>
      <c r="CI36" s="194"/>
      <c r="CJ36" s="194"/>
      <c r="CK36" s="194"/>
      <c r="CL36" s="194"/>
      <c r="CM36" s="194"/>
      <c r="CN36" s="194"/>
      <c r="CO36" s="194"/>
      <c r="CP36" s="48"/>
      <c r="CQ36" s="194"/>
      <c r="CR36" s="194"/>
      <c r="CS36" s="194"/>
      <c r="CT36" s="194"/>
      <c r="CU36" s="194"/>
      <c r="CV36" s="194"/>
      <c r="CW36" s="194"/>
      <c r="CX36" s="194"/>
      <c r="CY36" s="194"/>
      <c r="CZ36" s="194"/>
      <c r="DA36" s="194"/>
      <c r="DB36" s="194"/>
      <c r="DC36" s="194"/>
      <c r="DD36" s="196"/>
      <c r="DE36" s="194"/>
      <c r="DF36" s="194"/>
      <c r="DG36" s="196"/>
      <c r="DH36" s="196"/>
      <c r="DI36" s="196"/>
      <c r="DJ36" s="194"/>
      <c r="DK36" s="194"/>
      <c r="DL36" s="194"/>
      <c r="DM36" s="194"/>
      <c r="DN36" s="194"/>
      <c r="DO36" s="194"/>
      <c r="DP36" s="194"/>
      <c r="DQ36" s="196"/>
      <c r="DR36" s="194"/>
      <c r="DS36" s="196"/>
      <c r="DT36" s="194"/>
      <c r="DU36" s="194"/>
      <c r="DV36" s="194"/>
      <c r="DW36" s="194"/>
      <c r="DX36" s="194"/>
      <c r="DY36" s="194"/>
      <c r="DZ36" s="194"/>
      <c r="EA36" s="194"/>
      <c r="EB36" s="194"/>
      <c r="EC36" s="194"/>
      <c r="ED36" s="194"/>
      <c r="EE36" s="194"/>
      <c r="EF36" s="194"/>
      <c r="EG36" s="194"/>
      <c r="EH36" s="194"/>
      <c r="EI36" s="194"/>
      <c r="EJ36" s="194"/>
      <c r="EK36" s="196"/>
      <c r="EL36" s="196"/>
      <c r="EM36" s="48"/>
      <c r="EN36" s="55"/>
      <c r="EO36" s="48"/>
      <c r="EP36" s="48"/>
      <c r="EQ36" s="196"/>
      <c r="ER36" s="194"/>
      <c r="ES36" s="48"/>
      <c r="ET36" s="194"/>
      <c r="EU36" s="194"/>
      <c r="EV36" s="194"/>
      <c r="EW36" s="211" t="s">
        <v>3879</v>
      </c>
      <c r="EX36" s="211" t="s">
        <v>3954</v>
      </c>
      <c r="EY36" s="211" t="s">
        <v>4016</v>
      </c>
      <c r="EZ36" s="211" t="s">
        <v>4078</v>
      </c>
      <c r="FA36" s="211" t="s">
        <v>4140</v>
      </c>
      <c r="FB36" s="211" t="s">
        <v>4204</v>
      </c>
      <c r="FC36" s="211" t="s">
        <v>4265</v>
      </c>
      <c r="FD36" s="211" t="s">
        <v>4326</v>
      </c>
      <c r="FE36" s="211" t="s">
        <v>4387</v>
      </c>
      <c r="FF36" s="194"/>
      <c r="FG36" s="194"/>
      <c r="FH36" s="194"/>
      <c r="FI36" s="194"/>
      <c r="FJ36" s="55"/>
      <c r="FK36" s="194"/>
      <c r="FL36" s="197"/>
      <c r="FM36" s="194"/>
      <c r="FN36" s="198"/>
      <c r="FO36" s="194"/>
      <c r="FP36" s="198"/>
      <c r="FQ36" s="194"/>
      <c r="FR36" s="43"/>
      <c r="FS36" s="194"/>
      <c r="FT36" s="194"/>
      <c r="FU36" s="194"/>
      <c r="FV36" s="199"/>
      <c r="FW36" s="194"/>
      <c r="FX36" s="200"/>
    </row>
    <row r="37" spans="1:180" ht="15" customHeight="1" x14ac:dyDescent="0.2">
      <c r="A37" s="143" t="s">
        <v>289</v>
      </c>
      <c r="B37" s="189" t="s">
        <v>2845</v>
      </c>
      <c r="C37" s="189" t="s">
        <v>2924</v>
      </c>
      <c r="D37" s="211" t="s">
        <v>3182</v>
      </c>
      <c r="E37" s="53" t="s">
        <v>698</v>
      </c>
      <c r="F37" s="53" t="s">
        <v>407</v>
      </c>
      <c r="G37" s="53"/>
      <c r="H37" s="211" t="s">
        <v>3279</v>
      </c>
      <c r="I37" s="211" t="s">
        <v>3379</v>
      </c>
      <c r="J37" s="211" t="s">
        <v>3443</v>
      </c>
      <c r="K37" s="190" t="s">
        <v>3449</v>
      </c>
      <c r="L37" s="189">
        <v>2</v>
      </c>
      <c r="M37" s="211" t="s">
        <v>3490</v>
      </c>
      <c r="N37" s="211" t="s">
        <v>3590</v>
      </c>
      <c r="O37" s="189" t="s">
        <v>292</v>
      </c>
      <c r="P37" s="189" t="s">
        <v>293</v>
      </c>
      <c r="Q37" s="211">
        <v>27036</v>
      </c>
      <c r="R37" s="189" t="s">
        <v>294</v>
      </c>
      <c r="S37" s="189" t="s">
        <v>3024</v>
      </c>
      <c r="T37" s="189" t="s">
        <v>3112</v>
      </c>
      <c r="U37" s="211">
        <v>7</v>
      </c>
      <c r="V37" s="211" t="s">
        <v>3655</v>
      </c>
      <c r="W37" s="211" t="s">
        <v>3682</v>
      </c>
      <c r="X37" s="53" t="s">
        <v>24</v>
      </c>
      <c r="Y37" s="211">
        <v>1</v>
      </c>
      <c r="Z37" s="189" t="s">
        <v>556</v>
      </c>
      <c r="AA37" s="189" t="s">
        <v>299</v>
      </c>
      <c r="AB37" s="189" t="s">
        <v>766</v>
      </c>
      <c r="AC37" s="211" t="s">
        <v>3783</v>
      </c>
      <c r="AD37" s="164" t="b">
        <v>0</v>
      </c>
      <c r="AE37" s="192"/>
      <c r="AF37" s="193"/>
      <c r="AG37" s="193"/>
      <c r="AH37" s="193"/>
      <c r="AI37" s="193"/>
      <c r="AJ37" s="193"/>
      <c r="AK37" s="193"/>
      <c r="AL37" s="194"/>
      <c r="AM37" s="48"/>
      <c r="AN37" s="48"/>
      <c r="AO37" s="48"/>
      <c r="AP37" s="194"/>
      <c r="AQ37" s="194"/>
      <c r="AR37" s="194"/>
      <c r="AS37" s="194"/>
      <c r="AT37" s="194"/>
      <c r="AU37" s="194"/>
      <c r="AV37" s="194"/>
      <c r="AW37" s="194"/>
      <c r="AX37" s="194"/>
      <c r="AY37" s="194"/>
      <c r="AZ37" s="194"/>
      <c r="BA37" s="194"/>
      <c r="BB37" s="194"/>
      <c r="BC37" s="194"/>
      <c r="BD37" s="194"/>
      <c r="BE37" s="194"/>
      <c r="BF37" s="194"/>
      <c r="BG37" s="194"/>
      <c r="BH37" s="194"/>
      <c r="BI37" s="194"/>
      <c r="BJ37" s="194"/>
      <c r="BK37" s="194"/>
      <c r="BL37" s="194"/>
      <c r="BM37" s="194"/>
      <c r="BN37" s="194"/>
      <c r="BO37" s="194"/>
      <c r="BP37" s="194"/>
      <c r="BQ37" s="194"/>
      <c r="BR37" s="194"/>
      <c r="BS37" s="194"/>
      <c r="BT37" s="194"/>
      <c r="BU37" s="194"/>
      <c r="BV37" s="194"/>
      <c r="BW37" s="194"/>
      <c r="BX37" s="194"/>
      <c r="BY37" s="194"/>
      <c r="BZ37" s="194"/>
      <c r="CA37" s="194"/>
      <c r="CB37" s="194"/>
      <c r="CC37" s="194"/>
      <c r="CD37" s="194"/>
      <c r="CE37" s="194"/>
      <c r="CF37" s="194"/>
      <c r="CG37" s="194"/>
      <c r="CH37" s="194"/>
      <c r="CI37" s="194"/>
      <c r="CJ37" s="194"/>
      <c r="CK37" s="194"/>
      <c r="CL37" s="194"/>
      <c r="CM37" s="194"/>
      <c r="CN37" s="194"/>
      <c r="CO37" s="194"/>
      <c r="CP37" s="48"/>
      <c r="CQ37" s="194"/>
      <c r="CR37" s="194"/>
      <c r="CS37" s="194"/>
      <c r="CT37" s="194"/>
      <c r="CU37" s="194"/>
      <c r="CV37" s="194"/>
      <c r="CW37" s="194"/>
      <c r="CX37" s="194"/>
      <c r="CY37" s="194"/>
      <c r="CZ37" s="194"/>
      <c r="DA37" s="194"/>
      <c r="DB37" s="194"/>
      <c r="DC37" s="194"/>
      <c r="DD37" s="196"/>
      <c r="DE37" s="194"/>
      <c r="DF37" s="194"/>
      <c r="DG37" s="196"/>
      <c r="DH37" s="196"/>
      <c r="DI37" s="196"/>
      <c r="DJ37" s="194"/>
      <c r="DK37" s="194"/>
      <c r="DL37" s="194"/>
      <c r="DM37" s="194"/>
      <c r="DN37" s="194"/>
      <c r="DO37" s="194"/>
      <c r="DP37" s="194"/>
      <c r="DQ37" s="196"/>
      <c r="DR37" s="194"/>
      <c r="DS37" s="196"/>
      <c r="DT37" s="194"/>
      <c r="DU37" s="194"/>
      <c r="DV37" s="194"/>
      <c r="DW37" s="194"/>
      <c r="DX37" s="194"/>
      <c r="DY37" s="194"/>
      <c r="DZ37" s="194"/>
      <c r="EA37" s="194"/>
      <c r="EB37" s="194"/>
      <c r="EC37" s="194"/>
      <c r="ED37" s="194"/>
      <c r="EE37" s="194"/>
      <c r="EF37" s="194"/>
      <c r="EG37" s="194"/>
      <c r="EH37" s="194"/>
      <c r="EI37" s="194"/>
      <c r="EJ37" s="194"/>
      <c r="EK37" s="196"/>
      <c r="EL37" s="196"/>
      <c r="EM37" s="48"/>
      <c r="EN37" s="55"/>
      <c r="EO37" s="48"/>
      <c r="EP37" s="48"/>
      <c r="EQ37" s="196"/>
      <c r="ER37" s="194"/>
      <c r="ES37" s="48"/>
      <c r="ET37" s="194"/>
      <c r="EU37" s="194"/>
      <c r="EV37" s="194"/>
      <c r="EW37" s="211" t="s">
        <v>3880</v>
      </c>
      <c r="EX37" s="211" t="s">
        <v>3955</v>
      </c>
      <c r="EY37" s="211" t="s">
        <v>4017</v>
      </c>
      <c r="EZ37" s="211" t="s">
        <v>4079</v>
      </c>
      <c r="FA37" s="211" t="s">
        <v>4141</v>
      </c>
      <c r="FB37" s="211" t="s">
        <v>4205</v>
      </c>
      <c r="FC37" s="211" t="s">
        <v>4266</v>
      </c>
      <c r="FD37" s="211" t="s">
        <v>4327</v>
      </c>
      <c r="FE37" s="211" t="s">
        <v>4388</v>
      </c>
      <c r="FF37" s="194"/>
      <c r="FG37" s="194"/>
      <c r="FH37" s="194"/>
      <c r="FI37" s="194"/>
      <c r="FJ37" s="55"/>
      <c r="FK37" s="194"/>
      <c r="FL37" s="197"/>
      <c r="FM37" s="194"/>
      <c r="FN37" s="198"/>
      <c r="FO37" s="194"/>
      <c r="FP37" s="198"/>
      <c r="FQ37" s="194"/>
      <c r="FR37" s="43"/>
      <c r="FS37" s="194"/>
      <c r="FT37" s="194"/>
      <c r="FU37" s="194"/>
      <c r="FV37" s="199"/>
      <c r="FW37" s="194"/>
      <c r="FX37" s="200"/>
    </row>
    <row r="38" spans="1:180" ht="15" customHeight="1" x14ac:dyDescent="0.2">
      <c r="A38" s="68" t="s">
        <v>588</v>
      </c>
      <c r="B38" s="189" t="s">
        <v>2830</v>
      </c>
      <c r="C38" s="189" t="s">
        <v>2925</v>
      </c>
      <c r="D38" s="211" t="s">
        <v>3183</v>
      </c>
      <c r="E38" s="70" t="s">
        <v>24</v>
      </c>
      <c r="F38" s="53" t="s">
        <v>407</v>
      </c>
      <c r="G38" s="53"/>
      <c r="H38" s="211" t="s">
        <v>3280</v>
      </c>
      <c r="I38" s="211" t="s">
        <v>3380</v>
      </c>
      <c r="J38" s="211" t="s">
        <v>472</v>
      </c>
      <c r="K38" s="190"/>
      <c r="L38" s="189">
        <v>4</v>
      </c>
      <c r="M38" s="211" t="s">
        <v>3491</v>
      </c>
      <c r="N38" s="211" t="s">
        <v>3591</v>
      </c>
      <c r="O38" s="189" t="s">
        <v>292</v>
      </c>
      <c r="P38" s="189" t="s">
        <v>293</v>
      </c>
      <c r="Q38" s="211">
        <v>27037</v>
      </c>
      <c r="R38" s="189" t="s">
        <v>294</v>
      </c>
      <c r="S38" s="189" t="s">
        <v>3025</v>
      </c>
      <c r="T38" s="189" t="s">
        <v>3113</v>
      </c>
      <c r="U38" s="211">
        <v>8</v>
      </c>
      <c r="V38" s="211" t="s">
        <v>3655</v>
      </c>
      <c r="W38" s="211" t="s">
        <v>3683</v>
      </c>
      <c r="X38" s="53"/>
      <c r="Y38" s="211">
        <v>1</v>
      </c>
      <c r="Z38" s="189" t="s">
        <v>298</v>
      </c>
      <c r="AA38" s="189" t="s">
        <v>3142</v>
      </c>
      <c r="AB38" s="189" t="s">
        <v>766</v>
      </c>
      <c r="AC38" s="211" t="s">
        <v>3784</v>
      </c>
      <c r="AD38" s="164" t="b">
        <v>0</v>
      </c>
      <c r="AE38" s="192"/>
      <c r="AF38" s="193"/>
      <c r="AG38" s="193"/>
      <c r="AH38" s="193"/>
      <c r="AI38" s="193"/>
      <c r="AJ38" s="193"/>
      <c r="AK38" s="193"/>
      <c r="AL38" s="194"/>
      <c r="AM38" s="48"/>
      <c r="AN38" s="48"/>
      <c r="AO38" s="48"/>
      <c r="AP38" s="194"/>
      <c r="AQ38" s="194"/>
      <c r="AR38" s="194"/>
      <c r="AS38" s="194"/>
      <c r="AT38" s="194"/>
      <c r="AU38" s="194"/>
      <c r="AV38" s="194"/>
      <c r="AW38" s="194"/>
      <c r="AX38" s="194"/>
      <c r="AY38" s="194"/>
      <c r="AZ38" s="194"/>
      <c r="BA38" s="194"/>
      <c r="BB38" s="194"/>
      <c r="BC38" s="194"/>
      <c r="BD38" s="194"/>
      <c r="BE38" s="194"/>
      <c r="BF38" s="194"/>
      <c r="BG38" s="194"/>
      <c r="BH38" s="194"/>
      <c r="BI38" s="194"/>
      <c r="BJ38" s="194"/>
      <c r="BK38" s="194"/>
      <c r="BL38" s="194"/>
      <c r="BM38" s="194"/>
      <c r="BN38" s="194"/>
      <c r="BO38" s="194"/>
      <c r="BP38" s="194"/>
      <c r="BQ38" s="194"/>
      <c r="BR38" s="194"/>
      <c r="BS38" s="194"/>
      <c r="BT38" s="194"/>
      <c r="BU38" s="194"/>
      <c r="BV38" s="194"/>
      <c r="BW38" s="194"/>
      <c r="BX38" s="194"/>
      <c r="BY38" s="194"/>
      <c r="BZ38" s="194"/>
      <c r="CA38" s="194"/>
      <c r="CB38" s="194"/>
      <c r="CC38" s="194"/>
      <c r="CD38" s="194"/>
      <c r="CE38" s="194"/>
      <c r="CF38" s="194"/>
      <c r="CG38" s="194"/>
      <c r="CH38" s="194"/>
      <c r="CI38" s="194"/>
      <c r="CJ38" s="194"/>
      <c r="CK38" s="194"/>
      <c r="CL38" s="194"/>
      <c r="CM38" s="194"/>
      <c r="CN38" s="194"/>
      <c r="CO38" s="194"/>
      <c r="CP38" s="48"/>
      <c r="CQ38" s="194"/>
      <c r="CR38" s="194"/>
      <c r="CS38" s="194"/>
      <c r="CT38" s="194"/>
      <c r="CU38" s="194"/>
      <c r="CV38" s="194"/>
      <c r="CW38" s="194"/>
      <c r="CX38" s="194"/>
      <c r="CY38" s="194"/>
      <c r="CZ38" s="194"/>
      <c r="DA38" s="194"/>
      <c r="DB38" s="194"/>
      <c r="DC38" s="194"/>
      <c r="DD38" s="196"/>
      <c r="DE38" s="194"/>
      <c r="DF38" s="194"/>
      <c r="DG38" s="196"/>
      <c r="DH38" s="196"/>
      <c r="DI38" s="196"/>
      <c r="DJ38" s="194"/>
      <c r="DK38" s="194"/>
      <c r="DL38" s="194"/>
      <c r="DM38" s="194"/>
      <c r="DN38" s="194"/>
      <c r="DO38" s="194"/>
      <c r="DP38" s="194"/>
      <c r="DQ38" s="196"/>
      <c r="DR38" s="194"/>
      <c r="DS38" s="196"/>
      <c r="DT38" s="194"/>
      <c r="DU38" s="194"/>
      <c r="DV38" s="194"/>
      <c r="DW38" s="194"/>
      <c r="DX38" s="194"/>
      <c r="DY38" s="194"/>
      <c r="DZ38" s="194"/>
      <c r="EA38" s="194"/>
      <c r="EB38" s="194"/>
      <c r="EC38" s="194"/>
      <c r="ED38" s="194"/>
      <c r="EE38" s="194"/>
      <c r="EF38" s="194"/>
      <c r="EG38" s="194"/>
      <c r="EH38" s="194"/>
      <c r="EI38" s="194"/>
      <c r="EJ38" s="194"/>
      <c r="EK38" s="196"/>
      <c r="EL38" s="196"/>
      <c r="EM38" s="48"/>
      <c r="EN38" s="55"/>
      <c r="EO38" s="48"/>
      <c r="EP38" s="48"/>
      <c r="EQ38" s="196"/>
      <c r="ER38" s="194"/>
      <c r="ES38" s="48"/>
      <c r="ET38" s="194"/>
      <c r="EU38" s="194"/>
      <c r="EV38" s="194"/>
      <c r="EW38" s="211" t="s">
        <v>3881</v>
      </c>
      <c r="EX38" s="211" t="s">
        <v>3934</v>
      </c>
      <c r="EY38" s="211" t="s">
        <v>3996</v>
      </c>
      <c r="EZ38" s="211" t="s">
        <v>4058</v>
      </c>
      <c r="FA38" s="211" t="s">
        <v>4120</v>
      </c>
      <c r="FB38" s="211" t="s">
        <v>4184</v>
      </c>
      <c r="FC38" s="211" t="s">
        <v>4245</v>
      </c>
      <c r="FD38" s="211" t="s">
        <v>4306</v>
      </c>
      <c r="FE38" s="211" t="s">
        <v>4367</v>
      </c>
      <c r="FF38" s="194"/>
      <c r="FG38" s="194"/>
      <c r="FH38" s="194"/>
      <c r="FI38" s="194"/>
      <c r="FJ38" s="55"/>
      <c r="FK38" s="194"/>
      <c r="FL38" s="197"/>
      <c r="FM38" s="194"/>
      <c r="FN38" s="198"/>
      <c r="FO38" s="194"/>
      <c r="FP38" s="198"/>
      <c r="FQ38" s="194"/>
      <c r="FR38" s="43"/>
      <c r="FS38" s="194"/>
      <c r="FT38" s="194"/>
      <c r="FU38" s="194"/>
      <c r="FV38" s="199"/>
      <c r="FW38" s="194"/>
      <c r="FX38" s="200"/>
    </row>
    <row r="39" spans="1:180" ht="15" customHeight="1" x14ac:dyDescent="0.2">
      <c r="A39" s="119" t="s">
        <v>289</v>
      </c>
      <c r="B39" s="189" t="s">
        <v>2846</v>
      </c>
      <c r="C39" s="189" t="s">
        <v>2926</v>
      </c>
      <c r="D39" s="211" t="s">
        <v>3184</v>
      </c>
      <c r="E39" s="53" t="s">
        <v>472</v>
      </c>
      <c r="F39" s="53" t="s">
        <v>472</v>
      </c>
      <c r="G39" s="53"/>
      <c r="H39" s="211" t="s">
        <v>3281</v>
      </c>
      <c r="I39" s="211" t="s">
        <v>3381</v>
      </c>
      <c r="J39" s="211" t="s">
        <v>24</v>
      </c>
      <c r="K39" s="190"/>
      <c r="L39" s="189">
        <v>1</v>
      </c>
      <c r="M39" s="211" t="s">
        <v>3492</v>
      </c>
      <c r="N39" s="211" t="s">
        <v>3592</v>
      </c>
      <c r="O39" s="189" t="s">
        <v>292</v>
      </c>
      <c r="P39" s="189" t="s">
        <v>293</v>
      </c>
      <c r="Q39" s="211">
        <v>27038</v>
      </c>
      <c r="R39" s="189" t="s">
        <v>294</v>
      </c>
      <c r="S39" s="189" t="s">
        <v>3026</v>
      </c>
      <c r="T39" s="189" t="s">
        <v>3114</v>
      </c>
      <c r="U39" s="211">
        <v>16</v>
      </c>
      <c r="V39" s="211" t="s">
        <v>3655</v>
      </c>
      <c r="W39" s="211" t="s">
        <v>3684</v>
      </c>
      <c r="X39" s="53"/>
      <c r="Y39" s="211">
        <v>1</v>
      </c>
      <c r="Z39" s="189" t="s">
        <v>556</v>
      </c>
      <c r="AA39" s="189" t="s">
        <v>3142</v>
      </c>
      <c r="AB39" s="189" t="s">
        <v>410</v>
      </c>
      <c r="AC39" s="211" t="s">
        <v>3785</v>
      </c>
      <c r="AD39" s="164" t="b">
        <v>0</v>
      </c>
      <c r="AE39" s="192"/>
      <c r="AF39" s="193"/>
      <c r="AG39" s="193"/>
      <c r="AH39" s="193"/>
      <c r="AI39" s="193"/>
      <c r="AJ39" s="193"/>
      <c r="AK39" s="193"/>
      <c r="AL39" s="194"/>
      <c r="AM39" s="48"/>
      <c r="AN39" s="48"/>
      <c r="AO39" s="48"/>
      <c r="AP39" s="194"/>
      <c r="AQ39" s="194"/>
      <c r="AR39" s="194"/>
      <c r="AS39" s="194"/>
      <c r="AT39" s="194"/>
      <c r="AU39" s="194"/>
      <c r="AV39" s="194"/>
      <c r="AW39" s="194"/>
      <c r="AX39" s="194"/>
      <c r="AY39" s="194"/>
      <c r="AZ39" s="194"/>
      <c r="BA39" s="194"/>
      <c r="BB39" s="194"/>
      <c r="BC39" s="194"/>
      <c r="BD39" s="194"/>
      <c r="BE39" s="194"/>
      <c r="BF39" s="194"/>
      <c r="BG39" s="194"/>
      <c r="BH39" s="194"/>
      <c r="BI39" s="194"/>
      <c r="BJ39" s="194"/>
      <c r="BK39" s="194"/>
      <c r="BL39" s="194"/>
      <c r="BM39" s="194"/>
      <c r="BN39" s="194"/>
      <c r="BO39" s="194"/>
      <c r="BP39" s="194"/>
      <c r="BQ39" s="194"/>
      <c r="BR39" s="194"/>
      <c r="BS39" s="194"/>
      <c r="BT39" s="194"/>
      <c r="BU39" s="194"/>
      <c r="BV39" s="194"/>
      <c r="BW39" s="194"/>
      <c r="BX39" s="194"/>
      <c r="BY39" s="194"/>
      <c r="BZ39" s="194"/>
      <c r="CA39" s="194"/>
      <c r="CB39" s="194"/>
      <c r="CC39" s="194"/>
      <c r="CD39" s="194"/>
      <c r="CE39" s="194"/>
      <c r="CF39" s="194"/>
      <c r="CG39" s="194"/>
      <c r="CH39" s="194"/>
      <c r="CI39" s="194"/>
      <c r="CJ39" s="194"/>
      <c r="CK39" s="194"/>
      <c r="CL39" s="194"/>
      <c r="CM39" s="194"/>
      <c r="CN39" s="194"/>
      <c r="CO39" s="194"/>
      <c r="CP39" s="48"/>
      <c r="CQ39" s="194"/>
      <c r="CR39" s="194"/>
      <c r="CS39" s="194"/>
      <c r="CT39" s="194"/>
      <c r="CU39" s="194"/>
      <c r="CV39" s="194"/>
      <c r="CW39" s="194"/>
      <c r="CX39" s="194"/>
      <c r="CY39" s="194"/>
      <c r="CZ39" s="194"/>
      <c r="DA39" s="194"/>
      <c r="DB39" s="194"/>
      <c r="DC39" s="194"/>
      <c r="DD39" s="196"/>
      <c r="DE39" s="194"/>
      <c r="DF39" s="194"/>
      <c r="DG39" s="196"/>
      <c r="DH39" s="196"/>
      <c r="DI39" s="196"/>
      <c r="DJ39" s="194"/>
      <c r="DK39" s="194"/>
      <c r="DL39" s="194"/>
      <c r="DM39" s="194"/>
      <c r="DN39" s="194"/>
      <c r="DO39" s="194"/>
      <c r="DP39" s="194"/>
      <c r="DQ39" s="196"/>
      <c r="DR39" s="194"/>
      <c r="DS39" s="196"/>
      <c r="DT39" s="194"/>
      <c r="DU39" s="194"/>
      <c r="DV39" s="194"/>
      <c r="DW39" s="194"/>
      <c r="DX39" s="194"/>
      <c r="DY39" s="194"/>
      <c r="DZ39" s="194"/>
      <c r="EA39" s="194"/>
      <c r="EB39" s="194"/>
      <c r="EC39" s="194"/>
      <c r="ED39" s="194"/>
      <c r="EE39" s="194"/>
      <c r="EF39" s="194"/>
      <c r="EG39" s="194"/>
      <c r="EH39" s="194"/>
      <c r="EI39" s="194"/>
      <c r="EJ39" s="194"/>
      <c r="EK39" s="196"/>
      <c r="EL39" s="196"/>
      <c r="EM39" s="48"/>
      <c r="EN39" s="55"/>
      <c r="EO39" s="48"/>
      <c r="EP39" s="48"/>
      <c r="EQ39" s="196"/>
      <c r="ER39" s="194"/>
      <c r="ES39" s="48"/>
      <c r="ET39" s="194"/>
      <c r="EU39" s="194"/>
      <c r="EV39" s="194"/>
      <c r="EW39" s="211" t="s">
        <v>3882</v>
      </c>
      <c r="EX39" s="211" t="s">
        <v>3956</v>
      </c>
      <c r="EY39" s="211" t="s">
        <v>4018</v>
      </c>
      <c r="EZ39" s="211" t="s">
        <v>4080</v>
      </c>
      <c r="FA39" s="211" t="s">
        <v>4142</v>
      </c>
      <c r="FB39" s="211" t="s">
        <v>4206</v>
      </c>
      <c r="FC39" s="211" t="s">
        <v>4267</v>
      </c>
      <c r="FD39" s="211" t="s">
        <v>4328</v>
      </c>
      <c r="FE39" s="211" t="s">
        <v>4389</v>
      </c>
      <c r="FF39" s="194"/>
      <c r="FG39" s="194"/>
      <c r="FH39" s="194"/>
      <c r="FI39" s="194"/>
      <c r="FJ39" s="55"/>
      <c r="FK39" s="194"/>
      <c r="FL39" s="197"/>
      <c r="FM39" s="194"/>
      <c r="FN39" s="198"/>
      <c r="FO39" s="194"/>
      <c r="FP39" s="198"/>
      <c r="FQ39" s="194"/>
      <c r="FR39" s="43"/>
      <c r="FS39" s="194"/>
      <c r="FT39" s="194"/>
      <c r="FU39" s="194"/>
      <c r="FV39" s="199"/>
      <c r="FW39" s="194"/>
      <c r="FX39" s="200"/>
    </row>
    <row r="40" spans="1:180" ht="15" customHeight="1" x14ac:dyDescent="0.2">
      <c r="A40" s="68" t="s">
        <v>289</v>
      </c>
      <c r="B40" s="189" t="s">
        <v>2847</v>
      </c>
      <c r="C40" s="189" t="s">
        <v>2927</v>
      </c>
      <c r="D40" s="211" t="s">
        <v>3185</v>
      </c>
      <c r="E40" s="53" t="s">
        <v>24</v>
      </c>
      <c r="F40" s="53" t="s">
        <v>407</v>
      </c>
      <c r="G40" s="53"/>
      <c r="H40" s="211" t="s">
        <v>3282</v>
      </c>
      <c r="I40" s="211" t="s">
        <v>3382</v>
      </c>
      <c r="J40" s="211" t="s">
        <v>870</v>
      </c>
      <c r="K40" s="190"/>
      <c r="L40" s="189">
        <v>4</v>
      </c>
      <c r="M40" s="211" t="s">
        <v>3493</v>
      </c>
      <c r="N40" s="211" t="s">
        <v>3593</v>
      </c>
      <c r="O40" s="189" t="s">
        <v>292</v>
      </c>
      <c r="P40" s="189" t="s">
        <v>293</v>
      </c>
      <c r="Q40" s="211">
        <v>27039</v>
      </c>
      <c r="R40" s="189" t="s">
        <v>294</v>
      </c>
      <c r="S40" s="189" t="s">
        <v>3027</v>
      </c>
      <c r="T40" s="189" t="s">
        <v>3105</v>
      </c>
      <c r="U40" s="211">
        <v>12</v>
      </c>
      <c r="V40" s="211" t="s">
        <v>3655</v>
      </c>
      <c r="W40" s="211" t="s">
        <v>3685</v>
      </c>
      <c r="X40" s="53"/>
      <c r="Y40" s="211">
        <v>1</v>
      </c>
      <c r="Z40" s="189" t="s">
        <v>1120</v>
      </c>
      <c r="AA40" s="189" t="s">
        <v>3142</v>
      </c>
      <c r="AB40" s="189" t="s">
        <v>410</v>
      </c>
      <c r="AC40" s="211" t="s">
        <v>3786</v>
      </c>
      <c r="AD40" s="164" t="b">
        <v>0</v>
      </c>
      <c r="AE40" s="192"/>
      <c r="AF40" s="193"/>
      <c r="AG40" s="193"/>
      <c r="AH40" s="193"/>
      <c r="AI40" s="193"/>
      <c r="AJ40" s="193"/>
      <c r="AK40" s="193"/>
      <c r="AL40" s="194"/>
      <c r="AM40" s="48"/>
      <c r="AN40" s="48"/>
      <c r="AO40" s="48"/>
      <c r="AP40" s="194"/>
      <c r="AQ40" s="194"/>
      <c r="AR40" s="194"/>
      <c r="AS40" s="194"/>
      <c r="AT40" s="194"/>
      <c r="AU40" s="194"/>
      <c r="AV40" s="194"/>
      <c r="AW40" s="194"/>
      <c r="AX40" s="194"/>
      <c r="AY40" s="194"/>
      <c r="AZ40" s="194"/>
      <c r="BA40" s="194"/>
      <c r="BB40" s="194"/>
      <c r="BC40" s="194"/>
      <c r="BD40" s="194"/>
      <c r="BE40" s="194"/>
      <c r="BF40" s="194"/>
      <c r="BG40" s="194"/>
      <c r="BH40" s="194"/>
      <c r="BI40" s="194"/>
      <c r="BJ40" s="194"/>
      <c r="BK40" s="194"/>
      <c r="BL40" s="194"/>
      <c r="BM40" s="194"/>
      <c r="BN40" s="194"/>
      <c r="BO40" s="194"/>
      <c r="BP40" s="194"/>
      <c r="BQ40" s="194"/>
      <c r="BR40" s="194"/>
      <c r="BS40" s="194"/>
      <c r="BT40" s="194"/>
      <c r="BU40" s="194"/>
      <c r="BV40" s="194"/>
      <c r="BW40" s="194"/>
      <c r="BX40" s="194"/>
      <c r="BY40" s="194"/>
      <c r="BZ40" s="194"/>
      <c r="CA40" s="194"/>
      <c r="CB40" s="194"/>
      <c r="CC40" s="194"/>
      <c r="CD40" s="194"/>
      <c r="CE40" s="194"/>
      <c r="CF40" s="194"/>
      <c r="CG40" s="194"/>
      <c r="CH40" s="194"/>
      <c r="CI40" s="194"/>
      <c r="CJ40" s="194"/>
      <c r="CK40" s="194"/>
      <c r="CL40" s="194"/>
      <c r="CM40" s="194"/>
      <c r="CN40" s="194"/>
      <c r="CO40" s="194"/>
      <c r="CP40" s="48"/>
      <c r="CQ40" s="194"/>
      <c r="CR40" s="194"/>
      <c r="CS40" s="194"/>
      <c r="CT40" s="194"/>
      <c r="CU40" s="194"/>
      <c r="CV40" s="194"/>
      <c r="CW40" s="194"/>
      <c r="CX40" s="194"/>
      <c r="CY40" s="194"/>
      <c r="CZ40" s="194"/>
      <c r="DA40" s="194"/>
      <c r="DB40" s="194"/>
      <c r="DC40" s="194"/>
      <c r="DD40" s="196"/>
      <c r="DE40" s="194"/>
      <c r="DF40" s="194"/>
      <c r="DG40" s="196"/>
      <c r="DH40" s="196"/>
      <c r="DI40" s="196"/>
      <c r="DJ40" s="194"/>
      <c r="DK40" s="194"/>
      <c r="DL40" s="194"/>
      <c r="DM40" s="194"/>
      <c r="DN40" s="194"/>
      <c r="DO40" s="194"/>
      <c r="DP40" s="194"/>
      <c r="DQ40" s="196"/>
      <c r="DR40" s="194"/>
      <c r="DS40" s="196"/>
      <c r="DT40" s="194"/>
      <c r="DU40" s="194"/>
      <c r="DV40" s="194"/>
      <c r="DW40" s="194"/>
      <c r="DX40" s="194"/>
      <c r="DY40" s="194"/>
      <c r="DZ40" s="194"/>
      <c r="EA40" s="194"/>
      <c r="EB40" s="194"/>
      <c r="EC40" s="194"/>
      <c r="ED40" s="194"/>
      <c r="EE40" s="194"/>
      <c r="EF40" s="194"/>
      <c r="EG40" s="194"/>
      <c r="EH40" s="194"/>
      <c r="EI40" s="194"/>
      <c r="EJ40" s="194"/>
      <c r="EK40" s="196"/>
      <c r="EL40" s="196"/>
      <c r="EM40" s="48"/>
      <c r="EN40" s="55"/>
      <c r="EO40" s="48"/>
      <c r="EP40" s="48"/>
      <c r="EQ40" s="196"/>
      <c r="ER40" s="194"/>
      <c r="ES40" s="48"/>
      <c r="ET40" s="194"/>
      <c r="EU40" s="194"/>
      <c r="EV40" s="194"/>
      <c r="EW40" s="211" t="s">
        <v>3883</v>
      </c>
      <c r="EX40" s="211" t="s">
        <v>3957</v>
      </c>
      <c r="EY40" s="211" t="s">
        <v>4019</v>
      </c>
      <c r="EZ40" s="211" t="s">
        <v>4081</v>
      </c>
      <c r="FA40" s="211" t="s">
        <v>4143</v>
      </c>
      <c r="FB40" s="211" t="s">
        <v>4207</v>
      </c>
      <c r="FC40" s="211" t="s">
        <v>4268</v>
      </c>
      <c r="FD40" s="211" t="s">
        <v>4329</v>
      </c>
      <c r="FE40" s="211" t="s">
        <v>4390</v>
      </c>
      <c r="FF40" s="194"/>
      <c r="FG40" s="194"/>
      <c r="FH40" s="194"/>
      <c r="FI40" s="194"/>
      <c r="FJ40" s="55"/>
      <c r="FK40" s="194"/>
      <c r="FL40" s="197"/>
      <c r="FM40" s="194"/>
      <c r="FN40" s="198"/>
      <c r="FO40" s="194"/>
      <c r="FP40" s="198"/>
      <c r="FQ40" s="194"/>
      <c r="FR40" s="43"/>
      <c r="FS40" s="194"/>
      <c r="FT40" s="194"/>
      <c r="FU40" s="194"/>
      <c r="FV40" s="199"/>
      <c r="FW40" s="194"/>
      <c r="FX40" s="200"/>
    </row>
    <row r="41" spans="1:180" ht="15" customHeight="1" x14ac:dyDescent="0.2">
      <c r="A41" s="96" t="s">
        <v>289</v>
      </c>
      <c r="B41" s="189" t="s">
        <v>2848</v>
      </c>
      <c r="C41" s="189" t="s">
        <v>2928</v>
      </c>
      <c r="D41" s="211" t="s">
        <v>3186</v>
      </c>
      <c r="E41" s="53" t="s">
        <v>24</v>
      </c>
      <c r="F41" s="53" t="s">
        <v>407</v>
      </c>
      <c r="G41" s="53"/>
      <c r="H41" s="211" t="s">
        <v>3283</v>
      </c>
      <c r="I41" s="211" t="s">
        <v>3383</v>
      </c>
      <c r="J41" s="211" t="s">
        <v>472</v>
      </c>
      <c r="K41" s="190"/>
      <c r="L41" s="189">
        <v>3</v>
      </c>
      <c r="M41" s="211" t="s">
        <v>3494</v>
      </c>
      <c r="N41" s="211" t="s">
        <v>3594</v>
      </c>
      <c r="O41" s="189" t="s">
        <v>292</v>
      </c>
      <c r="P41" s="189" t="s">
        <v>293</v>
      </c>
      <c r="Q41" s="211">
        <v>27040</v>
      </c>
      <c r="R41" s="189" t="s">
        <v>294</v>
      </c>
      <c r="S41" s="189" t="s">
        <v>3028</v>
      </c>
      <c r="T41" s="189" t="s">
        <v>3115</v>
      </c>
      <c r="U41" s="211">
        <v>6</v>
      </c>
      <c r="V41" s="211" t="s">
        <v>3655</v>
      </c>
      <c r="W41" s="211" t="s">
        <v>3686</v>
      </c>
      <c r="X41" s="53"/>
      <c r="Y41" s="211">
        <v>2</v>
      </c>
      <c r="Z41" s="189" t="s">
        <v>298</v>
      </c>
      <c r="AA41" s="189" t="s">
        <v>3143</v>
      </c>
      <c r="AB41" s="189" t="s">
        <v>3144</v>
      </c>
      <c r="AC41" s="211" t="s">
        <v>3787</v>
      </c>
      <c r="AD41" s="164" t="b">
        <v>1</v>
      </c>
      <c r="AE41" s="192"/>
      <c r="AF41" s="193"/>
      <c r="AG41" s="193"/>
      <c r="AH41" s="193"/>
      <c r="AI41" s="193"/>
      <c r="AJ41" s="193"/>
      <c r="AK41" s="193"/>
      <c r="AL41" s="194"/>
      <c r="AM41" s="48"/>
      <c r="AN41" s="48"/>
      <c r="AO41" s="48"/>
      <c r="AP41" s="194"/>
      <c r="AQ41" s="194"/>
      <c r="AR41" s="194"/>
      <c r="AS41" s="194"/>
      <c r="AT41" s="194"/>
      <c r="AU41" s="194"/>
      <c r="AV41" s="194"/>
      <c r="AW41" s="194"/>
      <c r="AX41" s="194"/>
      <c r="AY41" s="194"/>
      <c r="AZ41" s="194"/>
      <c r="BA41" s="194"/>
      <c r="BB41" s="194"/>
      <c r="BC41" s="194"/>
      <c r="BD41" s="194"/>
      <c r="BE41" s="194"/>
      <c r="BF41" s="194"/>
      <c r="BG41" s="194"/>
      <c r="BH41" s="194"/>
      <c r="BI41" s="194"/>
      <c r="BJ41" s="194"/>
      <c r="BK41" s="194"/>
      <c r="BL41" s="194"/>
      <c r="BM41" s="194"/>
      <c r="BN41" s="194"/>
      <c r="BO41" s="194"/>
      <c r="BP41" s="194"/>
      <c r="BQ41" s="194"/>
      <c r="BR41" s="194"/>
      <c r="BS41" s="194"/>
      <c r="BT41" s="194"/>
      <c r="BU41" s="194"/>
      <c r="BV41" s="194"/>
      <c r="BW41" s="194"/>
      <c r="BX41" s="194"/>
      <c r="BY41" s="194"/>
      <c r="BZ41" s="194"/>
      <c r="CA41" s="194"/>
      <c r="CB41" s="194"/>
      <c r="CC41" s="194"/>
      <c r="CD41" s="194"/>
      <c r="CE41" s="194"/>
      <c r="CF41" s="194"/>
      <c r="CG41" s="194"/>
      <c r="CH41" s="194"/>
      <c r="CI41" s="194"/>
      <c r="CJ41" s="194"/>
      <c r="CK41" s="194"/>
      <c r="CL41" s="194"/>
      <c r="CM41" s="194"/>
      <c r="CN41" s="194"/>
      <c r="CO41" s="194"/>
      <c r="CP41" s="48"/>
      <c r="CQ41" s="194"/>
      <c r="CR41" s="194"/>
      <c r="CS41" s="194"/>
      <c r="CT41" s="194"/>
      <c r="CU41" s="194"/>
      <c r="CV41" s="194"/>
      <c r="CW41" s="194"/>
      <c r="CX41" s="194"/>
      <c r="CY41" s="194"/>
      <c r="CZ41" s="194"/>
      <c r="DA41" s="194"/>
      <c r="DB41" s="194"/>
      <c r="DC41" s="194"/>
      <c r="DD41" s="196"/>
      <c r="DE41" s="194"/>
      <c r="DF41" s="194"/>
      <c r="DG41" s="196"/>
      <c r="DH41" s="196"/>
      <c r="DI41" s="196"/>
      <c r="DJ41" s="194"/>
      <c r="DK41" s="194"/>
      <c r="DL41" s="194"/>
      <c r="DM41" s="194"/>
      <c r="DN41" s="194"/>
      <c r="DO41" s="194"/>
      <c r="DP41" s="194"/>
      <c r="DQ41" s="196"/>
      <c r="DR41" s="194"/>
      <c r="DS41" s="196"/>
      <c r="DT41" s="194"/>
      <c r="DU41" s="194"/>
      <c r="DV41" s="194"/>
      <c r="DW41" s="194"/>
      <c r="DX41" s="194"/>
      <c r="DY41" s="194"/>
      <c r="DZ41" s="194"/>
      <c r="EA41" s="194"/>
      <c r="EB41" s="194"/>
      <c r="EC41" s="194"/>
      <c r="ED41" s="194"/>
      <c r="EE41" s="194"/>
      <c r="EF41" s="194"/>
      <c r="EG41" s="194"/>
      <c r="EH41" s="194"/>
      <c r="EI41" s="194"/>
      <c r="EJ41" s="194"/>
      <c r="EK41" s="196"/>
      <c r="EL41" s="196"/>
      <c r="EM41" s="48"/>
      <c r="EN41" s="55"/>
      <c r="EO41" s="48"/>
      <c r="EP41" s="48"/>
      <c r="EQ41" s="196"/>
      <c r="ER41" s="194"/>
      <c r="ES41" s="48"/>
      <c r="ET41" s="194"/>
      <c r="EU41" s="194"/>
      <c r="EV41" s="194"/>
      <c r="EW41" s="211" t="s">
        <v>3884</v>
      </c>
      <c r="EX41" s="211" t="s">
        <v>3958</v>
      </c>
      <c r="EY41" s="211" t="s">
        <v>4020</v>
      </c>
      <c r="EZ41" s="211" t="s">
        <v>4082</v>
      </c>
      <c r="FA41" s="211" t="s">
        <v>4144</v>
      </c>
      <c r="FB41" s="211" t="s">
        <v>4208</v>
      </c>
      <c r="FC41" s="211" t="s">
        <v>4269</v>
      </c>
      <c r="FD41" s="211" t="s">
        <v>4330</v>
      </c>
      <c r="FE41" s="211" t="s">
        <v>4391</v>
      </c>
      <c r="FF41" s="194"/>
      <c r="FG41" s="194"/>
      <c r="FH41" s="194"/>
      <c r="FI41" s="194"/>
      <c r="FJ41" s="55"/>
      <c r="FK41" s="194"/>
      <c r="FL41" s="197"/>
      <c r="FM41" s="194"/>
      <c r="FN41" s="198"/>
      <c r="FO41" s="194"/>
      <c r="FP41" s="198"/>
      <c r="FQ41" s="194"/>
      <c r="FR41" s="43"/>
      <c r="FS41" s="194"/>
      <c r="FT41" s="194"/>
      <c r="FU41" s="194"/>
      <c r="FV41" s="199"/>
      <c r="FW41" s="194"/>
      <c r="FX41" s="200"/>
    </row>
    <row r="42" spans="1:180" ht="15" customHeight="1" x14ac:dyDescent="0.2">
      <c r="A42" s="154" t="s">
        <v>289</v>
      </c>
      <c r="B42" s="189" t="s">
        <v>2849</v>
      </c>
      <c r="C42" s="189" t="s">
        <v>2929</v>
      </c>
      <c r="D42" s="211" t="s">
        <v>3187</v>
      </c>
      <c r="E42" s="53" t="s">
        <v>698</v>
      </c>
      <c r="F42" s="53" t="s">
        <v>24</v>
      </c>
      <c r="G42" s="53"/>
      <c r="H42" s="211" t="s">
        <v>3284</v>
      </c>
      <c r="I42" s="211" t="s">
        <v>3384</v>
      </c>
      <c r="J42" s="211" t="s">
        <v>833</v>
      </c>
      <c r="K42" s="190"/>
      <c r="L42" s="189">
        <v>4</v>
      </c>
      <c r="M42" s="211" t="s">
        <v>3495</v>
      </c>
      <c r="N42" s="211" t="s">
        <v>3595</v>
      </c>
      <c r="O42" s="189" t="s">
        <v>292</v>
      </c>
      <c r="P42" s="189" t="s">
        <v>293</v>
      </c>
      <c r="Q42" s="211">
        <v>27041</v>
      </c>
      <c r="R42" s="189" t="s">
        <v>294</v>
      </c>
      <c r="S42" s="189" t="s">
        <v>3029</v>
      </c>
      <c r="T42" s="189" t="s">
        <v>3116</v>
      </c>
      <c r="U42" s="211">
        <v>15</v>
      </c>
      <c r="V42" s="211" t="s">
        <v>3656</v>
      </c>
      <c r="W42" s="211" t="s">
        <v>3687</v>
      </c>
      <c r="X42" s="53"/>
      <c r="Y42" s="211">
        <v>1</v>
      </c>
      <c r="Z42" s="189" t="s">
        <v>1120</v>
      </c>
      <c r="AA42" s="189" t="s">
        <v>3142</v>
      </c>
      <c r="AB42" s="189" t="s">
        <v>336</v>
      </c>
      <c r="AC42" s="211" t="s">
        <v>3788</v>
      </c>
      <c r="AD42" s="164" t="b">
        <v>0</v>
      </c>
      <c r="AE42" s="192"/>
      <c r="AF42" s="193"/>
      <c r="AG42" s="193"/>
      <c r="AH42" s="193"/>
      <c r="AI42" s="193"/>
      <c r="AJ42" s="193"/>
      <c r="AK42" s="193"/>
      <c r="AL42" s="194"/>
      <c r="AM42" s="48"/>
      <c r="AN42" s="48"/>
      <c r="AO42" s="48"/>
      <c r="AP42" s="194"/>
      <c r="AQ42" s="194"/>
      <c r="AR42" s="194"/>
      <c r="AS42" s="194"/>
      <c r="AT42" s="194"/>
      <c r="AU42" s="194"/>
      <c r="AV42" s="194"/>
      <c r="AW42" s="194"/>
      <c r="AX42" s="194"/>
      <c r="AY42" s="194"/>
      <c r="AZ42" s="194"/>
      <c r="BA42" s="194"/>
      <c r="BB42" s="194"/>
      <c r="BC42" s="194"/>
      <c r="BD42" s="194"/>
      <c r="BE42" s="194"/>
      <c r="BF42" s="194"/>
      <c r="BG42" s="194"/>
      <c r="BH42" s="194"/>
      <c r="BI42" s="194"/>
      <c r="BJ42" s="194"/>
      <c r="BK42" s="194"/>
      <c r="BL42" s="194"/>
      <c r="BM42" s="194"/>
      <c r="BN42" s="194"/>
      <c r="BO42" s="194"/>
      <c r="BP42" s="194"/>
      <c r="BQ42" s="194"/>
      <c r="BR42" s="194"/>
      <c r="BS42" s="194"/>
      <c r="BT42" s="194"/>
      <c r="BU42" s="194"/>
      <c r="BV42" s="194"/>
      <c r="BW42" s="194"/>
      <c r="BX42" s="194"/>
      <c r="BY42" s="194"/>
      <c r="BZ42" s="194"/>
      <c r="CA42" s="194"/>
      <c r="CB42" s="194"/>
      <c r="CC42" s="194"/>
      <c r="CD42" s="194"/>
      <c r="CE42" s="194"/>
      <c r="CF42" s="194"/>
      <c r="CG42" s="194"/>
      <c r="CH42" s="194"/>
      <c r="CI42" s="194"/>
      <c r="CJ42" s="194"/>
      <c r="CK42" s="194"/>
      <c r="CL42" s="194"/>
      <c r="CM42" s="194"/>
      <c r="CN42" s="194"/>
      <c r="CO42" s="194"/>
      <c r="CP42" s="48"/>
      <c r="CQ42" s="194"/>
      <c r="CR42" s="194"/>
      <c r="CS42" s="194"/>
      <c r="CT42" s="194"/>
      <c r="CU42" s="194"/>
      <c r="CV42" s="194"/>
      <c r="CW42" s="194"/>
      <c r="CX42" s="194"/>
      <c r="CY42" s="194"/>
      <c r="CZ42" s="194"/>
      <c r="DA42" s="194"/>
      <c r="DB42" s="194"/>
      <c r="DC42" s="194"/>
      <c r="DD42" s="196"/>
      <c r="DE42" s="194"/>
      <c r="DF42" s="194"/>
      <c r="DG42" s="196"/>
      <c r="DH42" s="196"/>
      <c r="DI42" s="196"/>
      <c r="DJ42" s="194"/>
      <c r="DK42" s="194"/>
      <c r="DL42" s="194"/>
      <c r="DM42" s="194"/>
      <c r="DN42" s="194"/>
      <c r="DO42" s="194"/>
      <c r="DP42" s="194"/>
      <c r="DQ42" s="196"/>
      <c r="DR42" s="194"/>
      <c r="DS42" s="196"/>
      <c r="DT42" s="194"/>
      <c r="DU42" s="194"/>
      <c r="DV42" s="194"/>
      <c r="DW42" s="194"/>
      <c r="DX42" s="194"/>
      <c r="DY42" s="194"/>
      <c r="DZ42" s="194"/>
      <c r="EA42" s="194"/>
      <c r="EB42" s="194"/>
      <c r="EC42" s="194"/>
      <c r="ED42" s="194"/>
      <c r="EE42" s="194"/>
      <c r="EF42" s="194"/>
      <c r="EG42" s="194"/>
      <c r="EH42" s="194"/>
      <c r="EI42" s="194"/>
      <c r="EJ42" s="194"/>
      <c r="EK42" s="196"/>
      <c r="EL42" s="196"/>
      <c r="EM42" s="48"/>
      <c r="EN42" s="55"/>
      <c r="EO42" s="48"/>
      <c r="EP42" s="48"/>
      <c r="EQ42" s="196"/>
      <c r="ER42" s="194"/>
      <c r="ES42" s="48"/>
      <c r="ET42" s="194"/>
      <c r="EU42" s="194"/>
      <c r="EV42" s="194"/>
      <c r="EW42" s="211" t="s">
        <v>3885</v>
      </c>
      <c r="EX42" s="211" t="s">
        <v>3928</v>
      </c>
      <c r="EY42" s="211" t="s">
        <v>3990</v>
      </c>
      <c r="EZ42" s="211" t="s">
        <v>4052</v>
      </c>
      <c r="FA42" s="211" t="s">
        <v>4114</v>
      </c>
      <c r="FB42" s="211" t="s">
        <v>4178</v>
      </c>
      <c r="FC42" s="211" t="s">
        <v>4239</v>
      </c>
      <c r="FD42" s="211" t="s">
        <v>4300</v>
      </c>
      <c r="FE42" s="211" t="s">
        <v>4361</v>
      </c>
      <c r="FF42" s="194"/>
      <c r="FG42" s="194"/>
      <c r="FH42" s="194"/>
      <c r="FI42" s="194"/>
      <c r="FJ42" s="55"/>
      <c r="FK42" s="194"/>
      <c r="FL42" s="197"/>
      <c r="FM42" s="194"/>
      <c r="FN42" s="198"/>
      <c r="FO42" s="194"/>
      <c r="FP42" s="198"/>
      <c r="FQ42" s="194"/>
      <c r="FR42" s="43"/>
      <c r="FS42" s="194"/>
      <c r="FT42" s="194"/>
      <c r="FU42" s="194"/>
      <c r="FV42" s="199"/>
      <c r="FW42" s="194"/>
      <c r="FX42" s="200"/>
    </row>
    <row r="43" spans="1:180" ht="15" customHeight="1" x14ac:dyDescent="0.2">
      <c r="A43" s="176" t="s">
        <v>624</v>
      </c>
      <c r="B43" s="189" t="s">
        <v>2850</v>
      </c>
      <c r="C43" s="189" t="s">
        <v>2930</v>
      </c>
      <c r="D43" s="211" t="s">
        <v>3188</v>
      </c>
      <c r="E43" s="70" t="s">
        <v>24</v>
      </c>
      <c r="F43" s="53" t="s">
        <v>407</v>
      </c>
      <c r="G43" s="53"/>
      <c r="H43" s="211" t="s">
        <v>3285</v>
      </c>
      <c r="I43" s="211" t="s">
        <v>3385</v>
      </c>
      <c r="J43" s="211" t="s">
        <v>24</v>
      </c>
      <c r="K43" s="211" t="s">
        <v>3448</v>
      </c>
      <c r="L43" s="189">
        <v>2</v>
      </c>
      <c r="M43" s="211" t="s">
        <v>3496</v>
      </c>
      <c r="N43" s="211" t="s">
        <v>3596</v>
      </c>
      <c r="O43" s="189" t="s">
        <v>292</v>
      </c>
      <c r="P43" s="189" t="s">
        <v>293</v>
      </c>
      <c r="Q43" s="211">
        <v>27042</v>
      </c>
      <c r="R43" s="189" t="s">
        <v>294</v>
      </c>
      <c r="S43" s="189" t="s">
        <v>3030</v>
      </c>
      <c r="T43" s="189" t="s">
        <v>3117</v>
      </c>
      <c r="U43" s="211">
        <v>9</v>
      </c>
      <c r="V43" s="211" t="s">
        <v>3656</v>
      </c>
      <c r="W43" s="211" t="s">
        <v>3688</v>
      </c>
      <c r="X43" s="53"/>
      <c r="Y43" s="211">
        <v>1</v>
      </c>
      <c r="Z43" s="189" t="s">
        <v>298</v>
      </c>
      <c r="AA43" s="189" t="s">
        <v>3142</v>
      </c>
      <c r="AB43" s="189" t="s">
        <v>766</v>
      </c>
      <c r="AC43" s="211" t="s">
        <v>3789</v>
      </c>
      <c r="AD43" s="164" t="b">
        <v>0</v>
      </c>
      <c r="AE43" s="192"/>
      <c r="AF43" s="193"/>
      <c r="AG43" s="193"/>
      <c r="AH43" s="193"/>
      <c r="AI43" s="193"/>
      <c r="AJ43" s="193"/>
      <c r="AK43" s="193"/>
      <c r="AL43" s="194"/>
      <c r="AM43" s="48"/>
      <c r="AN43" s="48"/>
      <c r="AO43" s="48"/>
      <c r="AP43" s="194"/>
      <c r="AQ43" s="194"/>
      <c r="AR43" s="194"/>
      <c r="AS43" s="194"/>
      <c r="AT43" s="194"/>
      <c r="AU43" s="194"/>
      <c r="AV43" s="194"/>
      <c r="AW43" s="194"/>
      <c r="AX43" s="194"/>
      <c r="AY43" s="194"/>
      <c r="AZ43" s="194"/>
      <c r="BA43" s="194"/>
      <c r="BB43" s="194"/>
      <c r="BC43" s="194"/>
      <c r="BD43" s="194"/>
      <c r="BE43" s="194"/>
      <c r="BF43" s="194"/>
      <c r="BG43" s="194"/>
      <c r="BH43" s="194"/>
      <c r="BI43" s="194"/>
      <c r="BJ43" s="194"/>
      <c r="BK43" s="194"/>
      <c r="BL43" s="194"/>
      <c r="BM43" s="194"/>
      <c r="BN43" s="194"/>
      <c r="BO43" s="194"/>
      <c r="BP43" s="194"/>
      <c r="BQ43" s="194"/>
      <c r="BR43" s="194"/>
      <c r="BS43" s="194"/>
      <c r="BT43" s="194"/>
      <c r="BU43" s="194"/>
      <c r="BV43" s="194"/>
      <c r="BW43" s="194"/>
      <c r="BX43" s="194"/>
      <c r="BY43" s="194"/>
      <c r="BZ43" s="194"/>
      <c r="CA43" s="194"/>
      <c r="CB43" s="194"/>
      <c r="CC43" s="194"/>
      <c r="CD43" s="194"/>
      <c r="CE43" s="194"/>
      <c r="CF43" s="194"/>
      <c r="CG43" s="194"/>
      <c r="CH43" s="194"/>
      <c r="CI43" s="194"/>
      <c r="CJ43" s="194"/>
      <c r="CK43" s="194"/>
      <c r="CL43" s="194"/>
      <c r="CM43" s="194"/>
      <c r="CN43" s="194"/>
      <c r="CO43" s="194"/>
      <c r="CP43" s="48"/>
      <c r="CQ43" s="194"/>
      <c r="CR43" s="194"/>
      <c r="CS43" s="194"/>
      <c r="CT43" s="194"/>
      <c r="CU43" s="194"/>
      <c r="CV43" s="194"/>
      <c r="CW43" s="194"/>
      <c r="CX43" s="194"/>
      <c r="CY43" s="194"/>
      <c r="CZ43" s="194"/>
      <c r="DA43" s="194"/>
      <c r="DB43" s="194"/>
      <c r="DC43" s="194"/>
      <c r="DD43" s="196"/>
      <c r="DE43" s="194"/>
      <c r="DF43" s="194"/>
      <c r="DG43" s="196"/>
      <c r="DH43" s="196"/>
      <c r="DI43" s="196"/>
      <c r="DJ43" s="194"/>
      <c r="DK43" s="194"/>
      <c r="DL43" s="194"/>
      <c r="DM43" s="194"/>
      <c r="DN43" s="194"/>
      <c r="DO43" s="194"/>
      <c r="DP43" s="194"/>
      <c r="DQ43" s="196"/>
      <c r="DR43" s="194"/>
      <c r="DS43" s="196"/>
      <c r="DT43" s="194"/>
      <c r="DU43" s="194"/>
      <c r="DV43" s="194"/>
      <c r="DW43" s="194"/>
      <c r="DX43" s="194"/>
      <c r="DY43" s="194"/>
      <c r="DZ43" s="194"/>
      <c r="EA43" s="194"/>
      <c r="EB43" s="194"/>
      <c r="EC43" s="194"/>
      <c r="ED43" s="194"/>
      <c r="EE43" s="194"/>
      <c r="EF43" s="194"/>
      <c r="EG43" s="194"/>
      <c r="EH43" s="194"/>
      <c r="EI43" s="194"/>
      <c r="EJ43" s="194"/>
      <c r="EK43" s="196"/>
      <c r="EL43" s="196"/>
      <c r="EM43" s="48"/>
      <c r="EN43" s="55"/>
      <c r="EO43" s="48"/>
      <c r="EP43" s="48"/>
      <c r="EQ43" s="196"/>
      <c r="ER43" s="194"/>
      <c r="ES43" s="48"/>
      <c r="ET43" s="194"/>
      <c r="EU43" s="194"/>
      <c r="EV43" s="194"/>
      <c r="EW43" s="211" t="s">
        <v>3867</v>
      </c>
      <c r="EX43" s="211" t="s">
        <v>3959</v>
      </c>
      <c r="EY43" s="211" t="s">
        <v>4021</v>
      </c>
      <c r="EZ43" s="211" t="s">
        <v>4083</v>
      </c>
      <c r="FA43" s="211" t="s">
        <v>4145</v>
      </c>
      <c r="FB43" s="211" t="s">
        <v>4209</v>
      </c>
      <c r="FC43" s="211" t="s">
        <v>4270</v>
      </c>
      <c r="FD43" s="211" t="s">
        <v>4331</v>
      </c>
      <c r="FE43" s="211" t="s">
        <v>4392</v>
      </c>
      <c r="FF43" s="194"/>
      <c r="FG43" s="194"/>
      <c r="FH43" s="194"/>
      <c r="FI43" s="194"/>
      <c r="FJ43" s="55"/>
      <c r="FK43" s="194"/>
      <c r="FL43" s="197"/>
      <c r="FM43" s="194"/>
      <c r="FN43" s="198"/>
      <c r="FO43" s="194"/>
      <c r="FP43" s="198"/>
      <c r="FQ43" s="194"/>
      <c r="FR43" s="43"/>
      <c r="FS43" s="194"/>
      <c r="FT43" s="194"/>
      <c r="FU43" s="194"/>
      <c r="FV43" s="199"/>
      <c r="FW43" s="194"/>
      <c r="FX43" s="200"/>
    </row>
    <row r="44" spans="1:180" ht="15" customHeight="1" x14ac:dyDescent="0.2">
      <c r="A44" s="148" t="s">
        <v>624</v>
      </c>
      <c r="B44" s="189" t="s">
        <v>2851</v>
      </c>
      <c r="C44" s="189" t="s">
        <v>2931</v>
      </c>
      <c r="D44" s="211" t="s">
        <v>3189</v>
      </c>
      <c r="E44" s="53" t="s">
        <v>472</v>
      </c>
      <c r="F44" s="133" t="s">
        <v>24</v>
      </c>
      <c r="G44" s="53"/>
      <c r="H44" s="211" t="s">
        <v>3286</v>
      </c>
      <c r="I44" s="211" t="s">
        <v>3386</v>
      </c>
      <c r="J44" s="211" t="s">
        <v>472</v>
      </c>
      <c r="K44" s="190"/>
      <c r="L44" s="189">
        <v>3</v>
      </c>
      <c r="M44" s="211" t="s">
        <v>3497</v>
      </c>
      <c r="N44" s="211" t="s">
        <v>3597</v>
      </c>
      <c r="O44" s="189" t="s">
        <v>292</v>
      </c>
      <c r="P44" s="189" t="s">
        <v>293</v>
      </c>
      <c r="Q44" s="211">
        <v>27043</v>
      </c>
      <c r="R44" s="189" t="s">
        <v>294</v>
      </c>
      <c r="S44" s="189" t="s">
        <v>3031</v>
      </c>
      <c r="T44" s="189" t="s">
        <v>3099</v>
      </c>
      <c r="U44" s="211">
        <v>7</v>
      </c>
      <c r="V44" s="211" t="s">
        <v>3656</v>
      </c>
      <c r="W44" s="211" t="s">
        <v>3689</v>
      </c>
      <c r="X44" s="53"/>
      <c r="Y44" s="211">
        <v>1</v>
      </c>
      <c r="Z44" s="189" t="s">
        <v>556</v>
      </c>
      <c r="AA44" s="189" t="s">
        <v>3142</v>
      </c>
      <c r="AB44" s="189" t="s">
        <v>766</v>
      </c>
      <c r="AC44" s="211" t="s">
        <v>3790</v>
      </c>
      <c r="AD44" s="164" t="b">
        <v>1</v>
      </c>
      <c r="AE44" s="192"/>
      <c r="AF44" s="193"/>
      <c r="AG44" s="193"/>
      <c r="AH44" s="193"/>
      <c r="AI44" s="193"/>
      <c r="AJ44" s="193"/>
      <c r="AK44" s="193"/>
      <c r="AL44" s="194"/>
      <c r="AM44" s="48"/>
      <c r="AN44" s="48"/>
      <c r="AO44" s="48"/>
      <c r="AP44" s="194"/>
      <c r="AQ44" s="194"/>
      <c r="AR44" s="194"/>
      <c r="AS44" s="194"/>
      <c r="AT44" s="194"/>
      <c r="AU44" s="194"/>
      <c r="AV44" s="194"/>
      <c r="AW44" s="194"/>
      <c r="AX44" s="194"/>
      <c r="AY44" s="194"/>
      <c r="AZ44" s="194"/>
      <c r="BA44" s="194"/>
      <c r="BB44" s="194"/>
      <c r="BC44" s="194"/>
      <c r="BD44" s="194"/>
      <c r="BE44" s="194"/>
      <c r="BF44" s="194"/>
      <c r="BG44" s="194"/>
      <c r="BH44" s="194"/>
      <c r="BI44" s="194"/>
      <c r="BJ44" s="194"/>
      <c r="BK44" s="194"/>
      <c r="BL44" s="194"/>
      <c r="BM44" s="194"/>
      <c r="BN44" s="194"/>
      <c r="BO44" s="194"/>
      <c r="BP44" s="194"/>
      <c r="BQ44" s="194"/>
      <c r="BR44" s="194"/>
      <c r="BS44" s="194"/>
      <c r="BT44" s="194"/>
      <c r="BU44" s="194"/>
      <c r="BV44" s="194"/>
      <c r="BW44" s="194"/>
      <c r="BX44" s="194"/>
      <c r="BY44" s="194"/>
      <c r="BZ44" s="194"/>
      <c r="CA44" s="194"/>
      <c r="CB44" s="194"/>
      <c r="CC44" s="194"/>
      <c r="CD44" s="194"/>
      <c r="CE44" s="194"/>
      <c r="CF44" s="194"/>
      <c r="CG44" s="194"/>
      <c r="CH44" s="194"/>
      <c r="CI44" s="194"/>
      <c r="CJ44" s="194"/>
      <c r="CK44" s="194"/>
      <c r="CL44" s="194"/>
      <c r="CM44" s="194"/>
      <c r="CN44" s="194"/>
      <c r="CO44" s="194"/>
      <c r="CP44" s="48"/>
      <c r="CQ44" s="194"/>
      <c r="CR44" s="194"/>
      <c r="CS44" s="194"/>
      <c r="CT44" s="194"/>
      <c r="CU44" s="194"/>
      <c r="CV44" s="194"/>
      <c r="CW44" s="194"/>
      <c r="CX44" s="194"/>
      <c r="CY44" s="194"/>
      <c r="CZ44" s="194"/>
      <c r="DA44" s="194"/>
      <c r="DB44" s="194"/>
      <c r="DC44" s="194"/>
      <c r="DD44" s="196"/>
      <c r="DE44" s="194"/>
      <c r="DF44" s="194"/>
      <c r="DG44" s="196"/>
      <c r="DH44" s="196"/>
      <c r="DI44" s="196"/>
      <c r="DJ44" s="194"/>
      <c r="DK44" s="194"/>
      <c r="DL44" s="194"/>
      <c r="DM44" s="194"/>
      <c r="DN44" s="194"/>
      <c r="DO44" s="194"/>
      <c r="DP44" s="194"/>
      <c r="DQ44" s="196"/>
      <c r="DR44" s="194"/>
      <c r="DS44" s="196"/>
      <c r="DT44" s="194"/>
      <c r="DU44" s="194"/>
      <c r="DV44" s="194"/>
      <c r="DW44" s="194"/>
      <c r="DX44" s="194"/>
      <c r="DY44" s="194"/>
      <c r="DZ44" s="194"/>
      <c r="EA44" s="194"/>
      <c r="EB44" s="194"/>
      <c r="EC44" s="194"/>
      <c r="ED44" s="194"/>
      <c r="EE44" s="194"/>
      <c r="EF44" s="194"/>
      <c r="EG44" s="194"/>
      <c r="EH44" s="194"/>
      <c r="EI44" s="194"/>
      <c r="EJ44" s="194"/>
      <c r="EK44" s="196"/>
      <c r="EL44" s="196"/>
      <c r="EM44" s="48"/>
      <c r="EN44" s="55"/>
      <c r="EO44" s="48"/>
      <c r="EP44" s="48"/>
      <c r="EQ44" s="196"/>
      <c r="ER44" s="194"/>
      <c r="ES44" s="48"/>
      <c r="ET44" s="194"/>
      <c r="EU44" s="194"/>
      <c r="EV44" s="194"/>
      <c r="EW44" s="211" t="s">
        <v>3886</v>
      </c>
      <c r="EX44" s="211" t="s">
        <v>3960</v>
      </c>
      <c r="EY44" s="211" t="s">
        <v>4022</v>
      </c>
      <c r="EZ44" s="211" t="s">
        <v>4084</v>
      </c>
      <c r="FA44" s="211" t="s">
        <v>4146</v>
      </c>
      <c r="FB44" s="211" t="s">
        <v>4210</v>
      </c>
      <c r="FC44" s="211" t="s">
        <v>4271</v>
      </c>
      <c r="FD44" s="211" t="s">
        <v>4332</v>
      </c>
      <c r="FE44" s="211" t="s">
        <v>4393</v>
      </c>
      <c r="FF44" s="194"/>
      <c r="FG44" s="194"/>
      <c r="FH44" s="194"/>
      <c r="FI44" s="194"/>
      <c r="FJ44" s="55"/>
      <c r="FK44" s="194"/>
      <c r="FL44" s="197"/>
      <c r="FM44" s="194"/>
      <c r="FN44" s="198"/>
      <c r="FO44" s="194"/>
      <c r="FP44" s="198"/>
      <c r="FQ44" s="194"/>
      <c r="FR44" s="43"/>
      <c r="FS44" s="194"/>
      <c r="FT44" s="194"/>
      <c r="FU44" s="194"/>
      <c r="FV44" s="199"/>
      <c r="FW44" s="194"/>
      <c r="FX44" s="200"/>
    </row>
    <row r="45" spans="1:180" ht="15" customHeight="1" x14ac:dyDescent="0.2">
      <c r="A45" s="158" t="s">
        <v>289</v>
      </c>
      <c r="B45" s="189" t="s">
        <v>2852</v>
      </c>
      <c r="C45" s="189" t="s">
        <v>2932</v>
      </c>
      <c r="D45" s="211" t="s">
        <v>3190</v>
      </c>
      <c r="E45" s="53" t="s">
        <v>24</v>
      </c>
      <c r="F45" s="139" t="s">
        <v>24</v>
      </c>
      <c r="G45" s="53"/>
      <c r="H45" s="211" t="s">
        <v>3287</v>
      </c>
      <c r="I45" s="211" t="s">
        <v>3387</v>
      </c>
      <c r="J45" s="211" t="s">
        <v>870</v>
      </c>
      <c r="K45" s="190"/>
      <c r="L45" s="189">
        <v>2</v>
      </c>
      <c r="M45" s="211" t="s">
        <v>3498</v>
      </c>
      <c r="N45" s="211" t="s">
        <v>3598</v>
      </c>
      <c r="O45" s="189" t="s">
        <v>292</v>
      </c>
      <c r="P45" s="189" t="s">
        <v>293</v>
      </c>
      <c r="Q45" s="211">
        <v>27044</v>
      </c>
      <c r="R45" s="189" t="s">
        <v>294</v>
      </c>
      <c r="S45" s="189" t="s">
        <v>3032</v>
      </c>
      <c r="T45" s="189" t="s">
        <v>3116</v>
      </c>
      <c r="U45" s="211">
        <v>10</v>
      </c>
      <c r="V45" s="211" t="s">
        <v>3656</v>
      </c>
      <c r="W45" s="211" t="s">
        <v>3690</v>
      </c>
      <c r="X45" s="53"/>
      <c r="Y45" s="211">
        <v>1</v>
      </c>
      <c r="Z45" s="189" t="s">
        <v>3141</v>
      </c>
      <c r="AA45" s="189" t="s">
        <v>3142</v>
      </c>
      <c r="AB45" s="189" t="s">
        <v>3145</v>
      </c>
      <c r="AC45" s="211" t="s">
        <v>3791</v>
      </c>
      <c r="AD45" s="164" t="b">
        <v>1</v>
      </c>
      <c r="AE45" s="192"/>
      <c r="AF45" s="193"/>
      <c r="AG45" s="193"/>
      <c r="AH45" s="193"/>
      <c r="AI45" s="193"/>
      <c r="AJ45" s="193"/>
      <c r="AK45" s="193"/>
      <c r="AL45" s="194"/>
      <c r="AM45" s="48"/>
      <c r="AN45" s="48"/>
      <c r="AO45" s="48"/>
      <c r="AP45" s="194"/>
      <c r="AQ45" s="194"/>
      <c r="AR45" s="194"/>
      <c r="AS45" s="194"/>
      <c r="AT45" s="194"/>
      <c r="AU45" s="194"/>
      <c r="AV45" s="194"/>
      <c r="AW45" s="194"/>
      <c r="AX45" s="194"/>
      <c r="AY45" s="194"/>
      <c r="AZ45" s="194"/>
      <c r="BA45" s="194"/>
      <c r="BB45" s="194"/>
      <c r="BC45" s="194"/>
      <c r="BD45" s="194"/>
      <c r="BE45" s="194"/>
      <c r="BF45" s="194"/>
      <c r="BG45" s="194"/>
      <c r="BH45" s="194"/>
      <c r="BI45" s="194"/>
      <c r="BJ45" s="194"/>
      <c r="BK45" s="194"/>
      <c r="BL45" s="194"/>
      <c r="BM45" s="194"/>
      <c r="BN45" s="194"/>
      <c r="BO45" s="194"/>
      <c r="BP45" s="194"/>
      <c r="BQ45" s="194"/>
      <c r="BR45" s="194"/>
      <c r="BS45" s="194"/>
      <c r="BT45" s="194"/>
      <c r="BU45" s="194"/>
      <c r="BV45" s="194"/>
      <c r="BW45" s="194"/>
      <c r="BX45" s="194"/>
      <c r="BY45" s="194"/>
      <c r="BZ45" s="194"/>
      <c r="CA45" s="194"/>
      <c r="CB45" s="194"/>
      <c r="CC45" s="194"/>
      <c r="CD45" s="194"/>
      <c r="CE45" s="194"/>
      <c r="CF45" s="194"/>
      <c r="CG45" s="194"/>
      <c r="CH45" s="194"/>
      <c r="CI45" s="194"/>
      <c r="CJ45" s="194"/>
      <c r="CK45" s="194"/>
      <c r="CL45" s="194"/>
      <c r="CM45" s="194"/>
      <c r="CN45" s="194"/>
      <c r="CO45" s="194"/>
      <c r="CP45" s="48"/>
      <c r="CQ45" s="194"/>
      <c r="CR45" s="194"/>
      <c r="CS45" s="194"/>
      <c r="CT45" s="194"/>
      <c r="CU45" s="194"/>
      <c r="CV45" s="194"/>
      <c r="CW45" s="194"/>
      <c r="CX45" s="194"/>
      <c r="CY45" s="194"/>
      <c r="CZ45" s="194"/>
      <c r="DA45" s="194"/>
      <c r="DB45" s="194"/>
      <c r="DC45" s="194"/>
      <c r="DD45" s="196"/>
      <c r="DE45" s="194"/>
      <c r="DF45" s="194"/>
      <c r="DG45" s="196"/>
      <c r="DH45" s="196"/>
      <c r="DI45" s="196"/>
      <c r="DJ45" s="194"/>
      <c r="DK45" s="194"/>
      <c r="DL45" s="194"/>
      <c r="DM45" s="194"/>
      <c r="DN45" s="194"/>
      <c r="DO45" s="194"/>
      <c r="DP45" s="194"/>
      <c r="DQ45" s="196"/>
      <c r="DR45" s="194"/>
      <c r="DS45" s="196"/>
      <c r="DT45" s="194"/>
      <c r="DU45" s="194"/>
      <c r="DV45" s="194"/>
      <c r="DW45" s="194"/>
      <c r="DX45" s="194"/>
      <c r="DY45" s="194"/>
      <c r="DZ45" s="194"/>
      <c r="EA45" s="194"/>
      <c r="EB45" s="194"/>
      <c r="EC45" s="194"/>
      <c r="ED45" s="194"/>
      <c r="EE45" s="194"/>
      <c r="EF45" s="194"/>
      <c r="EG45" s="194"/>
      <c r="EH45" s="194"/>
      <c r="EI45" s="194"/>
      <c r="EJ45" s="194"/>
      <c r="EK45" s="196"/>
      <c r="EL45" s="196"/>
      <c r="EM45" s="48"/>
      <c r="EN45" s="55"/>
      <c r="EO45" s="48"/>
      <c r="EP45" s="48"/>
      <c r="EQ45" s="196"/>
      <c r="ER45" s="194"/>
      <c r="ES45" s="48"/>
      <c r="ET45" s="194"/>
      <c r="EU45" s="194"/>
      <c r="EV45" s="194"/>
      <c r="EW45" s="211" t="s">
        <v>3887</v>
      </c>
      <c r="EX45" s="211" t="s">
        <v>3945</v>
      </c>
      <c r="EY45" s="211" t="s">
        <v>4007</v>
      </c>
      <c r="EZ45" s="211" t="s">
        <v>4069</v>
      </c>
      <c r="FA45" s="211" t="s">
        <v>4131</v>
      </c>
      <c r="FB45" s="211" t="s">
        <v>4195</v>
      </c>
      <c r="FC45" s="211" t="s">
        <v>4256</v>
      </c>
      <c r="FD45" s="211" t="s">
        <v>4317</v>
      </c>
      <c r="FE45" s="211" t="s">
        <v>4378</v>
      </c>
      <c r="FF45" s="194"/>
      <c r="FG45" s="194"/>
      <c r="FH45" s="194"/>
      <c r="FI45" s="194"/>
      <c r="FJ45" s="55"/>
      <c r="FK45" s="194"/>
      <c r="FL45" s="197"/>
      <c r="FM45" s="194"/>
      <c r="FN45" s="198"/>
      <c r="FO45" s="194"/>
      <c r="FP45" s="198"/>
      <c r="FQ45" s="194"/>
      <c r="FR45" s="43"/>
      <c r="FS45" s="194"/>
      <c r="FT45" s="194"/>
      <c r="FU45" s="194"/>
      <c r="FV45" s="199"/>
      <c r="FW45" s="194"/>
      <c r="FX45" s="200"/>
    </row>
    <row r="46" spans="1:180" ht="15" customHeight="1" x14ac:dyDescent="0.2">
      <c r="A46" s="180" t="s">
        <v>624</v>
      </c>
      <c r="B46" s="189" t="s">
        <v>2853</v>
      </c>
      <c r="C46" s="189" t="s">
        <v>2933</v>
      </c>
      <c r="D46" s="211" t="s">
        <v>3191</v>
      </c>
      <c r="E46" s="53" t="s">
        <v>24</v>
      </c>
      <c r="F46" s="53" t="s">
        <v>24</v>
      </c>
      <c r="G46" s="53"/>
      <c r="H46" s="211" t="s">
        <v>3288</v>
      </c>
      <c r="I46" s="211" t="s">
        <v>3388</v>
      </c>
      <c r="J46" s="211" t="s">
        <v>3443</v>
      </c>
      <c r="K46" s="190"/>
      <c r="L46" s="189">
        <v>6</v>
      </c>
      <c r="M46" s="211" t="s">
        <v>3499</v>
      </c>
      <c r="N46" s="211" t="s">
        <v>3599</v>
      </c>
      <c r="O46" s="189" t="s">
        <v>292</v>
      </c>
      <c r="P46" s="189" t="s">
        <v>293</v>
      </c>
      <c r="Q46" s="211">
        <v>27045</v>
      </c>
      <c r="R46" s="189" t="s">
        <v>294</v>
      </c>
      <c r="S46" s="189" t="s">
        <v>3033</v>
      </c>
      <c r="T46" s="189" t="s">
        <v>3118</v>
      </c>
      <c r="U46" s="211">
        <v>11</v>
      </c>
      <c r="V46" s="211" t="s">
        <v>3656</v>
      </c>
      <c r="W46" s="211" t="s">
        <v>3691</v>
      </c>
      <c r="X46" s="53"/>
      <c r="Y46" s="211">
        <v>1</v>
      </c>
      <c r="Z46" s="189" t="s">
        <v>556</v>
      </c>
      <c r="AA46" s="189" t="s">
        <v>299</v>
      </c>
      <c r="AB46" s="189" t="s">
        <v>3145</v>
      </c>
      <c r="AC46" s="211" t="s">
        <v>3792</v>
      </c>
      <c r="AD46" s="164" t="b">
        <v>1</v>
      </c>
      <c r="AE46" s="192"/>
      <c r="AF46" s="193"/>
      <c r="AG46" s="193"/>
      <c r="AH46" s="193"/>
      <c r="AI46" s="193"/>
      <c r="AJ46" s="193"/>
      <c r="AK46" s="193"/>
      <c r="AL46" s="194"/>
      <c r="AM46" s="48"/>
      <c r="AN46" s="48"/>
      <c r="AO46" s="48"/>
      <c r="AP46" s="194"/>
      <c r="AQ46" s="194"/>
      <c r="AR46" s="194"/>
      <c r="AS46" s="194"/>
      <c r="AT46" s="194"/>
      <c r="AU46" s="194"/>
      <c r="AV46" s="194"/>
      <c r="AW46" s="194"/>
      <c r="AX46" s="194"/>
      <c r="AY46" s="194"/>
      <c r="AZ46" s="194"/>
      <c r="BA46" s="194"/>
      <c r="BB46" s="194"/>
      <c r="BC46" s="194"/>
      <c r="BD46" s="194"/>
      <c r="BE46" s="194"/>
      <c r="BF46" s="194"/>
      <c r="BG46" s="194"/>
      <c r="BH46" s="194"/>
      <c r="BI46" s="194"/>
      <c r="BJ46" s="194"/>
      <c r="BK46" s="194"/>
      <c r="BL46" s="194"/>
      <c r="BM46" s="194"/>
      <c r="BN46" s="194"/>
      <c r="BO46" s="194"/>
      <c r="BP46" s="194"/>
      <c r="BQ46" s="194"/>
      <c r="BR46" s="194"/>
      <c r="BS46" s="194"/>
      <c r="BT46" s="194"/>
      <c r="BU46" s="194"/>
      <c r="BV46" s="194"/>
      <c r="BW46" s="194"/>
      <c r="BX46" s="194"/>
      <c r="BY46" s="194"/>
      <c r="BZ46" s="194"/>
      <c r="CA46" s="194"/>
      <c r="CB46" s="194"/>
      <c r="CC46" s="194"/>
      <c r="CD46" s="194"/>
      <c r="CE46" s="194"/>
      <c r="CF46" s="194"/>
      <c r="CG46" s="194"/>
      <c r="CH46" s="194"/>
      <c r="CI46" s="194"/>
      <c r="CJ46" s="194"/>
      <c r="CK46" s="194"/>
      <c r="CL46" s="194"/>
      <c r="CM46" s="194"/>
      <c r="CN46" s="194"/>
      <c r="CO46" s="194"/>
      <c r="CP46" s="48"/>
      <c r="CQ46" s="194"/>
      <c r="CR46" s="194"/>
      <c r="CS46" s="194"/>
      <c r="CT46" s="194"/>
      <c r="CU46" s="194"/>
      <c r="CV46" s="194"/>
      <c r="CW46" s="194"/>
      <c r="CX46" s="194"/>
      <c r="CY46" s="194"/>
      <c r="CZ46" s="194"/>
      <c r="DA46" s="194"/>
      <c r="DB46" s="194"/>
      <c r="DC46" s="194"/>
      <c r="DD46" s="196"/>
      <c r="DE46" s="194"/>
      <c r="DF46" s="194"/>
      <c r="DG46" s="196"/>
      <c r="DH46" s="196"/>
      <c r="DI46" s="196"/>
      <c r="DJ46" s="194"/>
      <c r="DK46" s="194"/>
      <c r="DL46" s="194"/>
      <c r="DM46" s="194"/>
      <c r="DN46" s="194"/>
      <c r="DO46" s="194"/>
      <c r="DP46" s="194"/>
      <c r="DQ46" s="196"/>
      <c r="DR46" s="194"/>
      <c r="DS46" s="196"/>
      <c r="DT46" s="194"/>
      <c r="DU46" s="194"/>
      <c r="DV46" s="194"/>
      <c r="DW46" s="194"/>
      <c r="DX46" s="194"/>
      <c r="DY46" s="194"/>
      <c r="DZ46" s="194"/>
      <c r="EA46" s="194"/>
      <c r="EB46" s="194"/>
      <c r="EC46" s="194"/>
      <c r="ED46" s="194"/>
      <c r="EE46" s="194"/>
      <c r="EF46" s="194"/>
      <c r="EG46" s="194"/>
      <c r="EH46" s="194"/>
      <c r="EI46" s="194"/>
      <c r="EJ46" s="194"/>
      <c r="EK46" s="196"/>
      <c r="EL46" s="196"/>
      <c r="EM46" s="48"/>
      <c r="EN46" s="55"/>
      <c r="EO46" s="48"/>
      <c r="EP46" s="48"/>
      <c r="EQ46" s="196"/>
      <c r="ER46" s="194"/>
      <c r="ES46" s="48"/>
      <c r="ET46" s="194"/>
      <c r="EU46" s="194"/>
      <c r="EV46" s="194"/>
      <c r="EW46" s="211" t="s">
        <v>3888</v>
      </c>
      <c r="EX46" s="211" t="s">
        <v>3961</v>
      </c>
      <c r="EY46" s="211" t="s">
        <v>4023</v>
      </c>
      <c r="EZ46" s="211" t="s">
        <v>4085</v>
      </c>
      <c r="FA46" s="211" t="s">
        <v>4147</v>
      </c>
      <c r="FB46" s="211" t="s">
        <v>4211</v>
      </c>
      <c r="FC46" s="211" t="s">
        <v>4272</v>
      </c>
      <c r="FD46" s="211" t="s">
        <v>4333</v>
      </c>
      <c r="FE46" s="211" t="s">
        <v>4394</v>
      </c>
      <c r="FF46" s="194"/>
      <c r="FG46" s="194"/>
      <c r="FH46" s="194"/>
      <c r="FI46" s="194"/>
      <c r="FJ46" s="55"/>
      <c r="FK46" s="194"/>
      <c r="FL46" s="197"/>
      <c r="FM46" s="194"/>
      <c r="FN46" s="198"/>
      <c r="FO46" s="194"/>
      <c r="FP46" s="198"/>
      <c r="FQ46" s="194"/>
      <c r="FR46" s="43"/>
      <c r="FS46" s="194"/>
      <c r="FT46" s="194"/>
      <c r="FU46" s="194"/>
      <c r="FV46" s="199"/>
      <c r="FW46" s="194"/>
      <c r="FX46" s="200"/>
    </row>
    <row r="47" spans="1:180" ht="15" customHeight="1" x14ac:dyDescent="0.2">
      <c r="A47" s="182" t="s">
        <v>624</v>
      </c>
      <c r="B47" s="189" t="s">
        <v>2854</v>
      </c>
      <c r="C47" s="189" t="s">
        <v>2934</v>
      </c>
      <c r="D47" s="211" t="s">
        <v>3192</v>
      </c>
      <c r="E47" s="53" t="s">
        <v>698</v>
      </c>
      <c r="F47" s="53" t="s">
        <v>24</v>
      </c>
      <c r="G47" s="53"/>
      <c r="H47" s="211" t="s">
        <v>3289</v>
      </c>
      <c r="I47" s="211" t="s">
        <v>3389</v>
      </c>
      <c r="J47" s="211" t="s">
        <v>24</v>
      </c>
      <c r="K47" s="190"/>
      <c r="L47" s="189">
        <v>6</v>
      </c>
      <c r="M47" s="211" t="s">
        <v>3500</v>
      </c>
      <c r="N47" s="211" t="s">
        <v>3600</v>
      </c>
      <c r="O47" s="189" t="s">
        <v>292</v>
      </c>
      <c r="P47" s="189" t="s">
        <v>293</v>
      </c>
      <c r="Q47" s="211">
        <v>27046</v>
      </c>
      <c r="R47" s="189" t="s">
        <v>294</v>
      </c>
      <c r="S47" s="189" t="s">
        <v>3034</v>
      </c>
      <c r="T47" s="189" t="s">
        <v>3094</v>
      </c>
      <c r="U47" s="211">
        <v>8</v>
      </c>
      <c r="V47" s="211" t="s">
        <v>3656</v>
      </c>
      <c r="W47" s="211" t="s">
        <v>3692</v>
      </c>
      <c r="X47" s="53"/>
      <c r="Y47" s="211">
        <v>1</v>
      </c>
      <c r="Z47" s="189" t="s">
        <v>556</v>
      </c>
      <c r="AA47" s="189" t="s">
        <v>3142</v>
      </c>
      <c r="AB47" s="189" t="s">
        <v>3144</v>
      </c>
      <c r="AC47" s="211" t="s">
        <v>3793</v>
      </c>
      <c r="AD47" s="164" t="b">
        <v>1</v>
      </c>
      <c r="AE47" s="192"/>
      <c r="AF47" s="193"/>
      <c r="AG47" s="193"/>
      <c r="AH47" s="193"/>
      <c r="AI47" s="193"/>
      <c r="AJ47" s="193"/>
      <c r="AK47" s="193"/>
      <c r="AL47" s="194"/>
      <c r="AM47" s="48"/>
      <c r="AN47" s="48"/>
      <c r="AO47" s="48"/>
      <c r="AP47" s="194"/>
      <c r="AQ47" s="194"/>
      <c r="AR47" s="194"/>
      <c r="AS47" s="194"/>
      <c r="AT47" s="194"/>
      <c r="AU47" s="194"/>
      <c r="AV47" s="194"/>
      <c r="AW47" s="194"/>
      <c r="AX47" s="194"/>
      <c r="AY47" s="194"/>
      <c r="AZ47" s="194"/>
      <c r="BA47" s="194"/>
      <c r="BB47" s="194"/>
      <c r="BC47" s="194"/>
      <c r="BD47" s="194"/>
      <c r="BE47" s="194"/>
      <c r="BF47" s="194"/>
      <c r="BG47" s="194"/>
      <c r="BH47" s="194"/>
      <c r="BI47" s="194"/>
      <c r="BJ47" s="194"/>
      <c r="BK47" s="194"/>
      <c r="BL47" s="194"/>
      <c r="BM47" s="194"/>
      <c r="BN47" s="194"/>
      <c r="BO47" s="194"/>
      <c r="BP47" s="194"/>
      <c r="BQ47" s="194"/>
      <c r="BR47" s="194"/>
      <c r="BS47" s="194"/>
      <c r="BT47" s="194"/>
      <c r="BU47" s="194"/>
      <c r="BV47" s="194"/>
      <c r="BW47" s="194"/>
      <c r="BX47" s="194"/>
      <c r="BY47" s="194"/>
      <c r="BZ47" s="194"/>
      <c r="CA47" s="194"/>
      <c r="CB47" s="194"/>
      <c r="CC47" s="194"/>
      <c r="CD47" s="194"/>
      <c r="CE47" s="194"/>
      <c r="CF47" s="194"/>
      <c r="CG47" s="194"/>
      <c r="CH47" s="194"/>
      <c r="CI47" s="194"/>
      <c r="CJ47" s="194"/>
      <c r="CK47" s="194"/>
      <c r="CL47" s="194"/>
      <c r="CM47" s="194"/>
      <c r="CN47" s="194"/>
      <c r="CO47" s="194"/>
      <c r="CP47" s="48"/>
      <c r="CQ47" s="194"/>
      <c r="CR47" s="194"/>
      <c r="CS47" s="194"/>
      <c r="CT47" s="194"/>
      <c r="CU47" s="194"/>
      <c r="CV47" s="194"/>
      <c r="CW47" s="194"/>
      <c r="CX47" s="194"/>
      <c r="CY47" s="194"/>
      <c r="CZ47" s="194"/>
      <c r="DA47" s="194"/>
      <c r="DB47" s="194"/>
      <c r="DC47" s="194"/>
      <c r="DD47" s="196"/>
      <c r="DE47" s="194"/>
      <c r="DF47" s="194"/>
      <c r="DG47" s="196"/>
      <c r="DH47" s="196"/>
      <c r="DI47" s="196"/>
      <c r="DJ47" s="194"/>
      <c r="DK47" s="194"/>
      <c r="DL47" s="194"/>
      <c r="DM47" s="194"/>
      <c r="DN47" s="194"/>
      <c r="DO47" s="194"/>
      <c r="DP47" s="194"/>
      <c r="DQ47" s="196"/>
      <c r="DR47" s="194"/>
      <c r="DS47" s="196"/>
      <c r="DT47" s="194"/>
      <c r="DU47" s="194"/>
      <c r="DV47" s="194"/>
      <c r="DW47" s="194"/>
      <c r="DX47" s="194"/>
      <c r="DY47" s="194"/>
      <c r="DZ47" s="194"/>
      <c r="EA47" s="194"/>
      <c r="EB47" s="194"/>
      <c r="EC47" s="194"/>
      <c r="ED47" s="194"/>
      <c r="EE47" s="194"/>
      <c r="EF47" s="194"/>
      <c r="EG47" s="194"/>
      <c r="EH47" s="194"/>
      <c r="EI47" s="194"/>
      <c r="EJ47" s="194"/>
      <c r="EK47" s="196"/>
      <c r="EL47" s="196"/>
      <c r="EM47" s="48"/>
      <c r="EN47" s="55"/>
      <c r="EO47" s="48"/>
      <c r="EP47" s="48"/>
      <c r="EQ47" s="196"/>
      <c r="ER47" s="194"/>
      <c r="ES47" s="48"/>
      <c r="ET47" s="194"/>
      <c r="EU47" s="194"/>
      <c r="EV47" s="194"/>
      <c r="EW47" s="211" t="s">
        <v>3889</v>
      </c>
      <c r="EX47" s="211" t="s">
        <v>3923</v>
      </c>
      <c r="EY47" s="211" t="s">
        <v>3985</v>
      </c>
      <c r="EZ47" s="211" t="s">
        <v>4047</v>
      </c>
      <c r="FA47" s="211" t="s">
        <v>4109</v>
      </c>
      <c r="FB47" s="211" t="s">
        <v>4173</v>
      </c>
      <c r="FC47" s="211" t="s">
        <v>4234</v>
      </c>
      <c r="FD47" s="211" t="s">
        <v>4295</v>
      </c>
      <c r="FE47" s="211" t="s">
        <v>4356</v>
      </c>
      <c r="FF47" s="194"/>
      <c r="FG47" s="194"/>
      <c r="FH47" s="194"/>
      <c r="FI47" s="194"/>
      <c r="FJ47" s="55"/>
      <c r="FK47" s="194"/>
      <c r="FL47" s="197"/>
      <c r="FM47" s="194"/>
      <c r="FN47" s="198"/>
      <c r="FO47" s="194"/>
      <c r="FP47" s="198"/>
      <c r="FQ47" s="194"/>
      <c r="FR47" s="43"/>
      <c r="FS47" s="194"/>
      <c r="FT47" s="194"/>
      <c r="FU47" s="194"/>
      <c r="FV47" s="199"/>
      <c r="FW47" s="194"/>
      <c r="FX47" s="200"/>
    </row>
    <row r="48" spans="1:180" ht="15" customHeight="1" x14ac:dyDescent="0.2">
      <c r="A48" s="155" t="s">
        <v>289</v>
      </c>
      <c r="B48" s="189" t="s">
        <v>2855</v>
      </c>
      <c r="C48" s="189" t="s">
        <v>2935</v>
      </c>
      <c r="D48" s="211" t="s">
        <v>3193</v>
      </c>
      <c r="E48" s="70" t="s">
        <v>24</v>
      </c>
      <c r="F48" s="53" t="s">
        <v>24</v>
      </c>
      <c r="G48" s="53"/>
      <c r="H48" s="211" t="s">
        <v>3290</v>
      </c>
      <c r="I48" s="211" t="s">
        <v>3390</v>
      </c>
      <c r="J48" s="211" t="s">
        <v>472</v>
      </c>
      <c r="K48" s="190"/>
      <c r="L48" s="189">
        <v>4</v>
      </c>
      <c r="M48" s="211" t="s">
        <v>3501</v>
      </c>
      <c r="N48" s="211" t="s">
        <v>3601</v>
      </c>
      <c r="O48" s="189" t="s">
        <v>292</v>
      </c>
      <c r="P48" s="189" t="s">
        <v>293</v>
      </c>
      <c r="Q48" s="211">
        <v>27047</v>
      </c>
      <c r="R48" s="189" t="s">
        <v>294</v>
      </c>
      <c r="S48" s="189" t="s">
        <v>3035</v>
      </c>
      <c r="T48" s="189" t="s">
        <v>3119</v>
      </c>
      <c r="U48" s="211">
        <v>14</v>
      </c>
      <c r="V48" s="211" t="s">
        <v>3656</v>
      </c>
      <c r="W48" s="211" t="s">
        <v>3693</v>
      </c>
      <c r="X48" s="53"/>
      <c r="Y48" s="211">
        <v>1</v>
      </c>
      <c r="Z48" s="189" t="s">
        <v>298</v>
      </c>
      <c r="AA48" s="189" t="s">
        <v>3142</v>
      </c>
      <c r="AB48" s="189" t="s">
        <v>3144</v>
      </c>
      <c r="AC48" s="211" t="s">
        <v>3794</v>
      </c>
      <c r="AD48" s="164" t="b">
        <v>1</v>
      </c>
      <c r="AE48" s="192"/>
      <c r="AF48" s="193"/>
      <c r="AG48" s="193"/>
      <c r="AH48" s="193"/>
      <c r="AI48" s="193"/>
      <c r="AJ48" s="193"/>
      <c r="AK48" s="193"/>
      <c r="AL48" s="194"/>
      <c r="AM48" s="48"/>
      <c r="AN48" s="48"/>
      <c r="AO48" s="48"/>
      <c r="AP48" s="194"/>
      <c r="AQ48" s="194"/>
      <c r="AR48" s="194"/>
      <c r="AS48" s="194"/>
      <c r="AT48" s="194"/>
      <c r="AU48" s="194"/>
      <c r="AV48" s="194"/>
      <c r="AW48" s="194"/>
      <c r="AX48" s="194"/>
      <c r="AY48" s="194"/>
      <c r="AZ48" s="194"/>
      <c r="BA48" s="194"/>
      <c r="BB48" s="194"/>
      <c r="BC48" s="194"/>
      <c r="BD48" s="194"/>
      <c r="BE48" s="194"/>
      <c r="BF48" s="194"/>
      <c r="BG48" s="194"/>
      <c r="BH48" s="194"/>
      <c r="BI48" s="194"/>
      <c r="BJ48" s="194"/>
      <c r="BK48" s="194"/>
      <c r="BL48" s="194"/>
      <c r="BM48" s="194"/>
      <c r="BN48" s="194"/>
      <c r="BO48" s="194"/>
      <c r="BP48" s="194"/>
      <c r="BQ48" s="194"/>
      <c r="BR48" s="194"/>
      <c r="BS48" s="194"/>
      <c r="BT48" s="194"/>
      <c r="BU48" s="194"/>
      <c r="BV48" s="194"/>
      <c r="BW48" s="194"/>
      <c r="BX48" s="194"/>
      <c r="BY48" s="194"/>
      <c r="BZ48" s="194"/>
      <c r="CA48" s="194"/>
      <c r="CB48" s="194"/>
      <c r="CC48" s="194"/>
      <c r="CD48" s="194"/>
      <c r="CE48" s="194"/>
      <c r="CF48" s="194"/>
      <c r="CG48" s="194"/>
      <c r="CH48" s="194"/>
      <c r="CI48" s="194"/>
      <c r="CJ48" s="194"/>
      <c r="CK48" s="194"/>
      <c r="CL48" s="194"/>
      <c r="CM48" s="194"/>
      <c r="CN48" s="194"/>
      <c r="CO48" s="194"/>
      <c r="CP48" s="48"/>
      <c r="CQ48" s="194"/>
      <c r="CR48" s="194"/>
      <c r="CS48" s="194"/>
      <c r="CT48" s="194"/>
      <c r="CU48" s="194"/>
      <c r="CV48" s="194"/>
      <c r="CW48" s="194"/>
      <c r="CX48" s="194"/>
      <c r="CY48" s="194"/>
      <c r="CZ48" s="194"/>
      <c r="DA48" s="194"/>
      <c r="DB48" s="194"/>
      <c r="DC48" s="194"/>
      <c r="DD48" s="196"/>
      <c r="DE48" s="194"/>
      <c r="DF48" s="194"/>
      <c r="DG48" s="196"/>
      <c r="DH48" s="196"/>
      <c r="DI48" s="196"/>
      <c r="DJ48" s="194"/>
      <c r="DK48" s="194"/>
      <c r="DL48" s="194"/>
      <c r="DM48" s="194"/>
      <c r="DN48" s="194"/>
      <c r="DO48" s="194"/>
      <c r="DP48" s="194"/>
      <c r="DQ48" s="196"/>
      <c r="DR48" s="194"/>
      <c r="DS48" s="196"/>
      <c r="DT48" s="194"/>
      <c r="DU48" s="194"/>
      <c r="DV48" s="194"/>
      <c r="DW48" s="194"/>
      <c r="DX48" s="194"/>
      <c r="DY48" s="194"/>
      <c r="DZ48" s="194"/>
      <c r="EA48" s="194"/>
      <c r="EB48" s="194"/>
      <c r="EC48" s="194"/>
      <c r="ED48" s="194"/>
      <c r="EE48" s="194"/>
      <c r="EF48" s="194"/>
      <c r="EG48" s="194"/>
      <c r="EH48" s="194"/>
      <c r="EI48" s="194"/>
      <c r="EJ48" s="194"/>
      <c r="EK48" s="196"/>
      <c r="EL48" s="196"/>
      <c r="EM48" s="48"/>
      <c r="EN48" s="55"/>
      <c r="EO48" s="48"/>
      <c r="EP48" s="48"/>
      <c r="EQ48" s="196"/>
      <c r="ER48" s="194"/>
      <c r="ES48" s="48"/>
      <c r="ET48" s="194"/>
      <c r="EU48" s="194"/>
      <c r="EV48" s="194"/>
      <c r="EW48" s="211" t="s">
        <v>3862</v>
      </c>
      <c r="EX48" s="211" t="s">
        <v>3924</v>
      </c>
      <c r="EY48" s="211" t="s">
        <v>3986</v>
      </c>
      <c r="EZ48" s="211" t="s">
        <v>4048</v>
      </c>
      <c r="FA48" s="211" t="s">
        <v>4110</v>
      </c>
      <c r="FB48" s="211" t="s">
        <v>4174</v>
      </c>
      <c r="FC48" s="211" t="s">
        <v>4235</v>
      </c>
      <c r="FD48" s="211" t="s">
        <v>4296</v>
      </c>
      <c r="FE48" s="211" t="s">
        <v>4357</v>
      </c>
      <c r="FF48" s="194"/>
      <c r="FG48" s="194"/>
      <c r="FH48" s="194"/>
      <c r="FI48" s="194"/>
      <c r="FJ48" s="55"/>
      <c r="FK48" s="194"/>
      <c r="FL48" s="197"/>
      <c r="FM48" s="194"/>
      <c r="FN48" s="198"/>
      <c r="FO48" s="194"/>
      <c r="FP48" s="198"/>
      <c r="FQ48" s="194"/>
      <c r="FR48" s="43"/>
      <c r="FS48" s="194"/>
      <c r="FT48" s="194"/>
      <c r="FU48" s="194"/>
      <c r="FV48" s="199"/>
      <c r="FW48" s="194"/>
      <c r="FX48" s="200"/>
    </row>
    <row r="49" spans="1:180" ht="15" customHeight="1" x14ac:dyDescent="0.2">
      <c r="A49" s="155" t="s">
        <v>289</v>
      </c>
      <c r="B49" s="189" t="s">
        <v>2856</v>
      </c>
      <c r="C49" s="189" t="s">
        <v>2936</v>
      </c>
      <c r="D49" s="211" t="s">
        <v>3194</v>
      </c>
      <c r="E49" s="53" t="s">
        <v>472</v>
      </c>
      <c r="F49" s="139" t="s">
        <v>24</v>
      </c>
      <c r="G49" s="53"/>
      <c r="H49" s="211" t="s">
        <v>3291</v>
      </c>
      <c r="I49" s="211" t="s">
        <v>3391</v>
      </c>
      <c r="J49" s="211" t="s">
        <v>24</v>
      </c>
      <c r="K49" s="190"/>
      <c r="L49" s="189">
        <v>6</v>
      </c>
      <c r="M49" s="211" t="s">
        <v>3502</v>
      </c>
      <c r="N49" s="211" t="s">
        <v>3602</v>
      </c>
      <c r="O49" s="189" t="s">
        <v>292</v>
      </c>
      <c r="P49" s="189" t="s">
        <v>293</v>
      </c>
      <c r="Q49" s="211">
        <v>27048</v>
      </c>
      <c r="R49" s="189" t="s">
        <v>294</v>
      </c>
      <c r="S49" s="189" t="s">
        <v>3036</v>
      </c>
      <c r="T49" s="189" t="s">
        <v>3120</v>
      </c>
      <c r="U49" s="211">
        <v>13</v>
      </c>
      <c r="V49" s="211" t="s">
        <v>3656</v>
      </c>
      <c r="W49" s="211" t="s">
        <v>3694</v>
      </c>
      <c r="X49" s="53"/>
      <c r="Y49" s="211">
        <v>1</v>
      </c>
      <c r="Z49" s="189" t="s">
        <v>1120</v>
      </c>
      <c r="AA49" s="189" t="s">
        <v>299</v>
      </c>
      <c r="AB49" s="189" t="s">
        <v>410</v>
      </c>
      <c r="AC49" s="211" t="s">
        <v>3795</v>
      </c>
      <c r="AD49" s="164" t="b">
        <v>0</v>
      </c>
      <c r="AE49" s="192"/>
      <c r="AF49" s="193"/>
      <c r="AG49" s="193"/>
      <c r="AH49" s="193"/>
      <c r="AI49" s="193"/>
      <c r="AJ49" s="193"/>
      <c r="AK49" s="193"/>
      <c r="AL49" s="194"/>
      <c r="AM49" s="48"/>
      <c r="AN49" s="48"/>
      <c r="AO49" s="48"/>
      <c r="AP49" s="194"/>
      <c r="AQ49" s="194"/>
      <c r="AR49" s="194"/>
      <c r="AS49" s="194"/>
      <c r="AT49" s="194"/>
      <c r="AU49" s="194"/>
      <c r="AV49" s="194"/>
      <c r="AW49" s="194"/>
      <c r="AX49" s="194"/>
      <c r="AY49" s="194"/>
      <c r="AZ49" s="194"/>
      <c r="BA49" s="194"/>
      <c r="BB49" s="194"/>
      <c r="BC49" s="194"/>
      <c r="BD49" s="194"/>
      <c r="BE49" s="194"/>
      <c r="BF49" s="194"/>
      <c r="BG49" s="194"/>
      <c r="BH49" s="194"/>
      <c r="BI49" s="194"/>
      <c r="BJ49" s="194"/>
      <c r="BK49" s="194"/>
      <c r="BL49" s="194"/>
      <c r="BM49" s="194"/>
      <c r="BN49" s="194"/>
      <c r="BO49" s="194"/>
      <c r="BP49" s="194"/>
      <c r="BQ49" s="194"/>
      <c r="BR49" s="194"/>
      <c r="BS49" s="194"/>
      <c r="BT49" s="194"/>
      <c r="BU49" s="194"/>
      <c r="BV49" s="194"/>
      <c r="BW49" s="194"/>
      <c r="BX49" s="194"/>
      <c r="BY49" s="194"/>
      <c r="BZ49" s="194"/>
      <c r="CA49" s="194"/>
      <c r="CB49" s="194"/>
      <c r="CC49" s="194"/>
      <c r="CD49" s="194"/>
      <c r="CE49" s="194"/>
      <c r="CF49" s="194"/>
      <c r="CG49" s="194"/>
      <c r="CH49" s="194"/>
      <c r="CI49" s="194"/>
      <c r="CJ49" s="194"/>
      <c r="CK49" s="194"/>
      <c r="CL49" s="194"/>
      <c r="CM49" s="194"/>
      <c r="CN49" s="194"/>
      <c r="CO49" s="194"/>
      <c r="CP49" s="48"/>
      <c r="CQ49" s="194"/>
      <c r="CR49" s="194"/>
      <c r="CS49" s="194"/>
      <c r="CT49" s="194"/>
      <c r="CU49" s="194"/>
      <c r="CV49" s="194"/>
      <c r="CW49" s="194"/>
      <c r="CX49" s="194"/>
      <c r="CY49" s="194"/>
      <c r="CZ49" s="194"/>
      <c r="DA49" s="194"/>
      <c r="DB49" s="194"/>
      <c r="DC49" s="194"/>
      <c r="DD49" s="196"/>
      <c r="DE49" s="194"/>
      <c r="DF49" s="194"/>
      <c r="DG49" s="196"/>
      <c r="DH49" s="196"/>
      <c r="DI49" s="196"/>
      <c r="DJ49" s="194"/>
      <c r="DK49" s="194"/>
      <c r="DL49" s="194"/>
      <c r="DM49" s="194"/>
      <c r="DN49" s="194"/>
      <c r="DO49" s="194"/>
      <c r="DP49" s="194"/>
      <c r="DQ49" s="196"/>
      <c r="DR49" s="194"/>
      <c r="DS49" s="196"/>
      <c r="DT49" s="194"/>
      <c r="DU49" s="194"/>
      <c r="DV49" s="194"/>
      <c r="DW49" s="194"/>
      <c r="DX49" s="194"/>
      <c r="DY49" s="194"/>
      <c r="DZ49" s="194"/>
      <c r="EA49" s="194"/>
      <c r="EB49" s="194"/>
      <c r="EC49" s="194"/>
      <c r="ED49" s="194"/>
      <c r="EE49" s="194"/>
      <c r="EF49" s="194"/>
      <c r="EG49" s="194"/>
      <c r="EH49" s="194"/>
      <c r="EI49" s="194"/>
      <c r="EJ49" s="194"/>
      <c r="EK49" s="196"/>
      <c r="EL49" s="196"/>
      <c r="EM49" s="48"/>
      <c r="EN49" s="55"/>
      <c r="EO49" s="48"/>
      <c r="EP49" s="48"/>
      <c r="EQ49" s="196"/>
      <c r="ER49" s="194"/>
      <c r="ES49" s="48"/>
      <c r="ET49" s="194"/>
      <c r="EU49" s="194"/>
      <c r="EV49" s="194"/>
      <c r="EW49" s="211" t="s">
        <v>3873</v>
      </c>
      <c r="EX49" s="211" t="s">
        <v>3962</v>
      </c>
      <c r="EY49" s="211" t="s">
        <v>4024</v>
      </c>
      <c r="EZ49" s="211" t="s">
        <v>4086</v>
      </c>
      <c r="FA49" s="211" t="s">
        <v>4148</v>
      </c>
      <c r="FB49" s="211" t="s">
        <v>4212</v>
      </c>
      <c r="FC49" s="211" t="s">
        <v>4273</v>
      </c>
      <c r="FD49" s="211" t="s">
        <v>4334</v>
      </c>
      <c r="FE49" s="211" t="s">
        <v>4395</v>
      </c>
      <c r="FF49" s="194"/>
      <c r="FG49" s="194"/>
      <c r="FH49" s="194"/>
      <c r="FI49" s="194"/>
      <c r="FJ49" s="55"/>
      <c r="FK49" s="194"/>
      <c r="FL49" s="197"/>
      <c r="FM49" s="194"/>
      <c r="FN49" s="198"/>
      <c r="FO49" s="194"/>
      <c r="FP49" s="198"/>
      <c r="FQ49" s="194"/>
      <c r="FR49" s="43"/>
      <c r="FS49" s="194"/>
      <c r="FT49" s="194"/>
      <c r="FU49" s="194"/>
      <c r="FV49" s="199"/>
      <c r="FW49" s="194"/>
      <c r="FX49" s="200"/>
    </row>
    <row r="50" spans="1:180" ht="15" customHeight="1" x14ac:dyDescent="0.2">
      <c r="A50" s="99" t="s">
        <v>289</v>
      </c>
      <c r="B50" s="189" t="s">
        <v>2833</v>
      </c>
      <c r="C50" s="189" t="s">
        <v>2937</v>
      </c>
      <c r="D50" s="211" t="s">
        <v>3195</v>
      </c>
      <c r="E50" s="53" t="s">
        <v>24</v>
      </c>
      <c r="F50" s="139" t="s">
        <v>24</v>
      </c>
      <c r="G50" s="53"/>
      <c r="H50" s="211" t="s">
        <v>3292</v>
      </c>
      <c r="I50" s="211" t="s">
        <v>3392</v>
      </c>
      <c r="J50" s="211" t="s">
        <v>870</v>
      </c>
      <c r="K50" s="190"/>
      <c r="L50" s="189">
        <v>3</v>
      </c>
      <c r="M50" s="211" t="s">
        <v>3503</v>
      </c>
      <c r="N50" s="211" t="s">
        <v>3603</v>
      </c>
      <c r="O50" s="189" t="s">
        <v>292</v>
      </c>
      <c r="P50" s="189" t="s">
        <v>293</v>
      </c>
      <c r="Q50" s="211">
        <v>27049</v>
      </c>
      <c r="R50" s="189" t="s">
        <v>294</v>
      </c>
      <c r="S50" s="189" t="s">
        <v>3037</v>
      </c>
      <c r="T50" s="189" t="s">
        <v>3111</v>
      </c>
      <c r="U50" s="211">
        <v>6</v>
      </c>
      <c r="V50" s="211" t="s">
        <v>3656</v>
      </c>
      <c r="W50" s="211" t="s">
        <v>3695</v>
      </c>
      <c r="X50" s="53"/>
      <c r="Y50" s="211">
        <v>1</v>
      </c>
      <c r="Z50" s="189" t="s">
        <v>3141</v>
      </c>
      <c r="AA50" s="189" t="s">
        <v>3143</v>
      </c>
      <c r="AB50" s="189" t="s">
        <v>336</v>
      </c>
      <c r="AC50" s="211" t="s">
        <v>3796</v>
      </c>
      <c r="AD50" s="164" t="b">
        <v>1</v>
      </c>
      <c r="AE50" s="192"/>
      <c r="AF50" s="193"/>
      <c r="AG50" s="193"/>
      <c r="AH50" s="193"/>
      <c r="AI50" s="193"/>
      <c r="AJ50" s="193"/>
      <c r="AK50" s="193"/>
      <c r="AL50" s="194"/>
      <c r="AM50" s="48"/>
      <c r="AN50" s="48"/>
      <c r="AO50" s="48"/>
      <c r="AP50" s="194"/>
      <c r="AQ50" s="194"/>
      <c r="AR50" s="194"/>
      <c r="AS50" s="194"/>
      <c r="AT50" s="194"/>
      <c r="AU50" s="194"/>
      <c r="AV50" s="194"/>
      <c r="AW50" s="194"/>
      <c r="AX50" s="194"/>
      <c r="AY50" s="194"/>
      <c r="AZ50" s="194"/>
      <c r="BA50" s="194"/>
      <c r="BB50" s="194"/>
      <c r="BC50" s="194"/>
      <c r="BD50" s="194"/>
      <c r="BE50" s="194"/>
      <c r="BF50" s="194"/>
      <c r="BG50" s="194"/>
      <c r="BH50" s="194"/>
      <c r="BI50" s="194"/>
      <c r="BJ50" s="194"/>
      <c r="BK50" s="194"/>
      <c r="BL50" s="194"/>
      <c r="BM50" s="194"/>
      <c r="BN50" s="194"/>
      <c r="BO50" s="194"/>
      <c r="BP50" s="194"/>
      <c r="BQ50" s="194"/>
      <c r="BR50" s="194"/>
      <c r="BS50" s="194"/>
      <c r="BT50" s="194"/>
      <c r="BU50" s="194"/>
      <c r="BV50" s="194"/>
      <c r="BW50" s="194"/>
      <c r="BX50" s="194"/>
      <c r="BY50" s="194"/>
      <c r="BZ50" s="194"/>
      <c r="CA50" s="194"/>
      <c r="CB50" s="194"/>
      <c r="CC50" s="194"/>
      <c r="CD50" s="194"/>
      <c r="CE50" s="194"/>
      <c r="CF50" s="194"/>
      <c r="CG50" s="194"/>
      <c r="CH50" s="194"/>
      <c r="CI50" s="194"/>
      <c r="CJ50" s="194"/>
      <c r="CK50" s="194"/>
      <c r="CL50" s="194"/>
      <c r="CM50" s="194"/>
      <c r="CN50" s="194"/>
      <c r="CO50" s="194"/>
      <c r="CP50" s="48"/>
      <c r="CQ50" s="194"/>
      <c r="CR50" s="194"/>
      <c r="CS50" s="194"/>
      <c r="CT50" s="194"/>
      <c r="CU50" s="194"/>
      <c r="CV50" s="194"/>
      <c r="CW50" s="194"/>
      <c r="CX50" s="194"/>
      <c r="CY50" s="194"/>
      <c r="CZ50" s="194"/>
      <c r="DA50" s="194"/>
      <c r="DB50" s="194"/>
      <c r="DC50" s="194"/>
      <c r="DD50" s="196"/>
      <c r="DE50" s="194"/>
      <c r="DF50" s="194"/>
      <c r="DG50" s="196"/>
      <c r="DH50" s="196"/>
      <c r="DI50" s="196"/>
      <c r="DJ50" s="194"/>
      <c r="DK50" s="194"/>
      <c r="DL50" s="194"/>
      <c r="DM50" s="194"/>
      <c r="DN50" s="194"/>
      <c r="DO50" s="194"/>
      <c r="DP50" s="194"/>
      <c r="DQ50" s="196"/>
      <c r="DR50" s="194"/>
      <c r="DS50" s="196"/>
      <c r="DT50" s="194"/>
      <c r="DU50" s="194"/>
      <c r="DV50" s="194"/>
      <c r="DW50" s="194"/>
      <c r="DX50" s="194"/>
      <c r="DY50" s="194"/>
      <c r="DZ50" s="194"/>
      <c r="EA50" s="194"/>
      <c r="EB50" s="194"/>
      <c r="EC50" s="194"/>
      <c r="ED50" s="194"/>
      <c r="EE50" s="194"/>
      <c r="EF50" s="194"/>
      <c r="EG50" s="194"/>
      <c r="EH50" s="194"/>
      <c r="EI50" s="194"/>
      <c r="EJ50" s="194"/>
      <c r="EK50" s="196"/>
      <c r="EL50" s="196"/>
      <c r="EM50" s="48"/>
      <c r="EN50" s="55"/>
      <c r="EO50" s="48"/>
      <c r="EP50" s="48"/>
      <c r="EQ50" s="196"/>
      <c r="ER50" s="194"/>
      <c r="ES50" s="48"/>
      <c r="ET50" s="194"/>
      <c r="EU50" s="194"/>
      <c r="EV50" s="194"/>
      <c r="EW50" s="211" t="s">
        <v>3890</v>
      </c>
      <c r="EX50" s="211" t="s">
        <v>3926</v>
      </c>
      <c r="EY50" s="211" t="s">
        <v>3988</v>
      </c>
      <c r="EZ50" s="211" t="s">
        <v>4050</v>
      </c>
      <c r="FA50" s="211" t="s">
        <v>4112</v>
      </c>
      <c r="FB50" s="211" t="s">
        <v>4176</v>
      </c>
      <c r="FC50" s="211" t="s">
        <v>4237</v>
      </c>
      <c r="FD50" s="211" t="s">
        <v>4298</v>
      </c>
      <c r="FE50" s="211" t="s">
        <v>4359</v>
      </c>
      <c r="FF50" s="194"/>
      <c r="FG50" s="194"/>
      <c r="FH50" s="194"/>
      <c r="FI50" s="194"/>
      <c r="FJ50" s="55"/>
      <c r="FK50" s="194"/>
      <c r="FL50" s="197"/>
      <c r="FM50" s="194"/>
      <c r="FN50" s="198"/>
      <c r="FO50" s="194"/>
      <c r="FP50" s="198"/>
      <c r="FQ50" s="194"/>
      <c r="FR50" s="43"/>
      <c r="FS50" s="194"/>
      <c r="FT50" s="194"/>
      <c r="FU50" s="194"/>
      <c r="FV50" s="199"/>
      <c r="FW50" s="194"/>
      <c r="FX50" s="200"/>
    </row>
    <row r="51" spans="1:180" ht="15" customHeight="1" x14ac:dyDescent="0.2">
      <c r="A51" s="100" t="s">
        <v>289</v>
      </c>
      <c r="B51" s="189" t="s">
        <v>2857</v>
      </c>
      <c r="C51" s="189" t="s">
        <v>2938</v>
      </c>
      <c r="D51" s="211" t="s">
        <v>3196</v>
      </c>
      <c r="E51" s="53" t="s">
        <v>24</v>
      </c>
      <c r="F51" s="53" t="s">
        <v>833</v>
      </c>
      <c r="G51" s="53"/>
      <c r="H51" s="211" t="s">
        <v>3293</v>
      </c>
      <c r="I51" s="211" t="s">
        <v>3393</v>
      </c>
      <c r="J51" s="211" t="s">
        <v>472</v>
      </c>
      <c r="K51" s="190"/>
      <c r="L51" s="189">
        <v>5</v>
      </c>
      <c r="M51" s="211" t="s">
        <v>3504</v>
      </c>
      <c r="N51" s="211" t="s">
        <v>3604</v>
      </c>
      <c r="O51" s="189" t="s">
        <v>292</v>
      </c>
      <c r="P51" s="189" t="s">
        <v>293</v>
      </c>
      <c r="Q51" s="211">
        <v>27050</v>
      </c>
      <c r="R51" s="189" t="s">
        <v>294</v>
      </c>
      <c r="S51" s="189" t="s">
        <v>3038</v>
      </c>
      <c r="T51" s="189" t="s">
        <v>534</v>
      </c>
      <c r="U51" s="211">
        <v>9</v>
      </c>
      <c r="V51" s="211" t="s">
        <v>3656</v>
      </c>
      <c r="W51" s="211" t="s">
        <v>3696</v>
      </c>
      <c r="X51" s="53"/>
      <c r="Y51" s="211">
        <v>2</v>
      </c>
      <c r="Z51" s="189" t="s">
        <v>3141</v>
      </c>
      <c r="AA51" s="189" t="s">
        <v>3143</v>
      </c>
      <c r="AB51" s="189" t="s">
        <v>766</v>
      </c>
      <c r="AC51" s="211" t="s">
        <v>3797</v>
      </c>
      <c r="AD51" s="164" t="b">
        <v>1</v>
      </c>
      <c r="AE51" s="192"/>
      <c r="AF51" s="193"/>
      <c r="AG51" s="193"/>
      <c r="AH51" s="193"/>
      <c r="AI51" s="193"/>
      <c r="AJ51" s="193"/>
      <c r="AK51" s="193"/>
      <c r="AL51" s="194"/>
      <c r="AM51" s="48"/>
      <c r="AN51" s="48"/>
      <c r="AO51" s="48"/>
      <c r="AP51" s="194"/>
      <c r="AQ51" s="194"/>
      <c r="AR51" s="194"/>
      <c r="AS51" s="194"/>
      <c r="AT51" s="194"/>
      <c r="AU51" s="194"/>
      <c r="AV51" s="194"/>
      <c r="AW51" s="194"/>
      <c r="AX51" s="194"/>
      <c r="AY51" s="194"/>
      <c r="AZ51" s="194"/>
      <c r="BA51" s="194"/>
      <c r="BB51" s="194"/>
      <c r="BC51" s="194"/>
      <c r="BD51" s="194"/>
      <c r="BE51" s="194"/>
      <c r="BF51" s="194"/>
      <c r="BG51" s="194"/>
      <c r="BH51" s="194"/>
      <c r="BI51" s="194"/>
      <c r="BJ51" s="194"/>
      <c r="BK51" s="194"/>
      <c r="BL51" s="194"/>
      <c r="BM51" s="194"/>
      <c r="BN51" s="194"/>
      <c r="BO51" s="194"/>
      <c r="BP51" s="194"/>
      <c r="BQ51" s="194"/>
      <c r="BR51" s="194"/>
      <c r="BS51" s="194"/>
      <c r="BT51" s="194"/>
      <c r="BU51" s="194"/>
      <c r="BV51" s="194"/>
      <c r="BW51" s="194"/>
      <c r="BX51" s="194"/>
      <c r="BY51" s="194"/>
      <c r="BZ51" s="194"/>
      <c r="CA51" s="194"/>
      <c r="CB51" s="194"/>
      <c r="CC51" s="194"/>
      <c r="CD51" s="194"/>
      <c r="CE51" s="194"/>
      <c r="CF51" s="194"/>
      <c r="CG51" s="194"/>
      <c r="CH51" s="194"/>
      <c r="CI51" s="194"/>
      <c r="CJ51" s="194"/>
      <c r="CK51" s="194"/>
      <c r="CL51" s="194"/>
      <c r="CM51" s="194"/>
      <c r="CN51" s="194"/>
      <c r="CO51" s="194"/>
      <c r="CP51" s="48"/>
      <c r="CQ51" s="194"/>
      <c r="CR51" s="194"/>
      <c r="CS51" s="194"/>
      <c r="CT51" s="194"/>
      <c r="CU51" s="194"/>
      <c r="CV51" s="194"/>
      <c r="CW51" s="194"/>
      <c r="CX51" s="194"/>
      <c r="CY51" s="194"/>
      <c r="CZ51" s="194"/>
      <c r="DA51" s="194"/>
      <c r="DB51" s="194"/>
      <c r="DC51" s="194"/>
      <c r="DD51" s="196"/>
      <c r="DE51" s="194"/>
      <c r="DF51" s="194"/>
      <c r="DG51" s="196"/>
      <c r="DH51" s="196"/>
      <c r="DI51" s="196"/>
      <c r="DJ51" s="194"/>
      <c r="DK51" s="194"/>
      <c r="DL51" s="194"/>
      <c r="DM51" s="194"/>
      <c r="DN51" s="194"/>
      <c r="DO51" s="194"/>
      <c r="DP51" s="194"/>
      <c r="DQ51" s="196"/>
      <c r="DR51" s="194"/>
      <c r="DS51" s="196"/>
      <c r="DT51" s="194"/>
      <c r="DU51" s="194"/>
      <c r="DV51" s="194"/>
      <c r="DW51" s="194"/>
      <c r="DX51" s="194"/>
      <c r="DY51" s="194"/>
      <c r="DZ51" s="194"/>
      <c r="EA51" s="194"/>
      <c r="EB51" s="194"/>
      <c r="EC51" s="194"/>
      <c r="ED51" s="194"/>
      <c r="EE51" s="194"/>
      <c r="EF51" s="194"/>
      <c r="EG51" s="194"/>
      <c r="EH51" s="194"/>
      <c r="EI51" s="194"/>
      <c r="EJ51" s="194"/>
      <c r="EK51" s="196"/>
      <c r="EL51" s="196"/>
      <c r="EM51" s="48"/>
      <c r="EN51" s="55"/>
      <c r="EO51" s="48"/>
      <c r="EP51" s="48"/>
      <c r="EQ51" s="196"/>
      <c r="ER51" s="194"/>
      <c r="ES51" s="48"/>
      <c r="ET51" s="194"/>
      <c r="EU51" s="194"/>
      <c r="EV51" s="194"/>
      <c r="EW51" s="211" t="s">
        <v>3891</v>
      </c>
      <c r="EX51" s="211" t="s">
        <v>3963</v>
      </c>
      <c r="EY51" s="211" t="s">
        <v>4025</v>
      </c>
      <c r="EZ51" s="211" t="s">
        <v>4087</v>
      </c>
      <c r="FA51" s="211" t="s">
        <v>4149</v>
      </c>
      <c r="FB51" s="211" t="s">
        <v>4213</v>
      </c>
      <c r="FC51" s="211" t="s">
        <v>4274</v>
      </c>
      <c r="FD51" s="211" t="s">
        <v>4335</v>
      </c>
      <c r="FE51" s="211" t="s">
        <v>4396</v>
      </c>
      <c r="FF51" s="194"/>
      <c r="FG51" s="194"/>
      <c r="FH51" s="194"/>
      <c r="FI51" s="194"/>
      <c r="FJ51" s="55"/>
      <c r="FK51" s="194"/>
      <c r="FL51" s="197"/>
      <c r="FM51" s="194"/>
      <c r="FN51" s="198"/>
      <c r="FO51" s="194"/>
      <c r="FP51" s="198"/>
      <c r="FQ51" s="194"/>
      <c r="FR51" s="43"/>
      <c r="FS51" s="194"/>
      <c r="FT51" s="194"/>
      <c r="FU51" s="194"/>
      <c r="FV51" s="199"/>
      <c r="FW51" s="194"/>
      <c r="FX51" s="200"/>
    </row>
    <row r="52" spans="1:180" ht="15" customHeight="1" x14ac:dyDescent="0.2">
      <c r="A52" s="173" t="s">
        <v>289</v>
      </c>
      <c r="B52" s="189" t="s">
        <v>2858</v>
      </c>
      <c r="C52" s="189" t="s">
        <v>2939</v>
      </c>
      <c r="D52" s="211" t="s">
        <v>3197</v>
      </c>
      <c r="E52" s="53" t="s">
        <v>698</v>
      </c>
      <c r="F52" s="53" t="s">
        <v>24</v>
      </c>
      <c r="G52" s="53"/>
      <c r="H52" s="211" t="s">
        <v>3294</v>
      </c>
      <c r="I52" s="211" t="s">
        <v>3394</v>
      </c>
      <c r="J52" s="211" t="s">
        <v>833</v>
      </c>
      <c r="K52" s="190"/>
      <c r="L52" s="189">
        <v>6</v>
      </c>
      <c r="M52" s="211" t="s">
        <v>3505</v>
      </c>
      <c r="N52" s="211" t="s">
        <v>3605</v>
      </c>
      <c r="O52" s="189" t="s">
        <v>292</v>
      </c>
      <c r="P52" s="189" t="s">
        <v>293</v>
      </c>
      <c r="Q52" s="211">
        <v>27051</v>
      </c>
      <c r="R52" s="189" t="s">
        <v>294</v>
      </c>
      <c r="S52" s="189" t="s">
        <v>3039</v>
      </c>
      <c r="T52" s="189" t="s">
        <v>3095</v>
      </c>
      <c r="U52" s="211">
        <v>12</v>
      </c>
      <c r="V52" s="211" t="s">
        <v>3656</v>
      </c>
      <c r="W52" s="211" t="s">
        <v>3697</v>
      </c>
      <c r="X52" s="53"/>
      <c r="Y52" s="211">
        <v>1</v>
      </c>
      <c r="Z52" s="189" t="s">
        <v>298</v>
      </c>
      <c r="AA52" s="189" t="s">
        <v>299</v>
      </c>
      <c r="AB52" s="189" t="s">
        <v>410</v>
      </c>
      <c r="AC52" s="211" t="s">
        <v>3798</v>
      </c>
      <c r="AD52" s="164" t="b">
        <v>1</v>
      </c>
      <c r="AE52" s="192"/>
      <c r="AF52" s="193"/>
      <c r="AG52" s="193"/>
      <c r="AH52" s="193"/>
      <c r="AI52" s="193"/>
      <c r="AJ52" s="193"/>
      <c r="AK52" s="193"/>
      <c r="AL52" s="194"/>
      <c r="AM52" s="48"/>
      <c r="AN52" s="48"/>
      <c r="AO52" s="48"/>
      <c r="AP52" s="194"/>
      <c r="AQ52" s="194"/>
      <c r="AR52" s="194"/>
      <c r="AS52" s="194"/>
      <c r="AT52" s="194"/>
      <c r="AU52" s="194"/>
      <c r="AV52" s="194"/>
      <c r="AW52" s="194"/>
      <c r="AX52" s="194"/>
      <c r="AY52" s="194"/>
      <c r="AZ52" s="194"/>
      <c r="BA52" s="194"/>
      <c r="BB52" s="194"/>
      <c r="BC52" s="194"/>
      <c r="BD52" s="194"/>
      <c r="BE52" s="194"/>
      <c r="BF52" s="194"/>
      <c r="BG52" s="194"/>
      <c r="BH52" s="194"/>
      <c r="BI52" s="194"/>
      <c r="BJ52" s="194"/>
      <c r="BK52" s="194"/>
      <c r="BL52" s="194"/>
      <c r="BM52" s="194"/>
      <c r="BN52" s="194"/>
      <c r="BO52" s="194"/>
      <c r="BP52" s="194"/>
      <c r="BQ52" s="194"/>
      <c r="BR52" s="194"/>
      <c r="BS52" s="194"/>
      <c r="BT52" s="194"/>
      <c r="BU52" s="194"/>
      <c r="BV52" s="194"/>
      <c r="BW52" s="194"/>
      <c r="BX52" s="194"/>
      <c r="BY52" s="194"/>
      <c r="BZ52" s="194"/>
      <c r="CA52" s="194"/>
      <c r="CB52" s="194"/>
      <c r="CC52" s="194"/>
      <c r="CD52" s="194"/>
      <c r="CE52" s="194"/>
      <c r="CF52" s="194"/>
      <c r="CG52" s="194"/>
      <c r="CH52" s="194"/>
      <c r="CI52" s="194"/>
      <c r="CJ52" s="194"/>
      <c r="CK52" s="194"/>
      <c r="CL52" s="194"/>
      <c r="CM52" s="194"/>
      <c r="CN52" s="194"/>
      <c r="CO52" s="194"/>
      <c r="CP52" s="48"/>
      <c r="CQ52" s="194"/>
      <c r="CR52" s="194"/>
      <c r="CS52" s="194"/>
      <c r="CT52" s="194"/>
      <c r="CU52" s="194"/>
      <c r="CV52" s="194"/>
      <c r="CW52" s="194"/>
      <c r="CX52" s="194"/>
      <c r="CY52" s="194"/>
      <c r="CZ52" s="194"/>
      <c r="DA52" s="194"/>
      <c r="DB52" s="194"/>
      <c r="DC52" s="194"/>
      <c r="DD52" s="196"/>
      <c r="DE52" s="194"/>
      <c r="DF52" s="194"/>
      <c r="DG52" s="196"/>
      <c r="DH52" s="196"/>
      <c r="DI52" s="196"/>
      <c r="DJ52" s="194"/>
      <c r="DK52" s="194"/>
      <c r="DL52" s="194"/>
      <c r="DM52" s="194"/>
      <c r="DN52" s="194"/>
      <c r="DO52" s="194"/>
      <c r="DP52" s="194"/>
      <c r="DQ52" s="196"/>
      <c r="DR52" s="194"/>
      <c r="DS52" s="196"/>
      <c r="DT52" s="194"/>
      <c r="DU52" s="194"/>
      <c r="DV52" s="194"/>
      <c r="DW52" s="194"/>
      <c r="DX52" s="194"/>
      <c r="DY52" s="194"/>
      <c r="DZ52" s="194"/>
      <c r="EA52" s="194"/>
      <c r="EB52" s="194"/>
      <c r="EC52" s="194"/>
      <c r="ED52" s="194"/>
      <c r="EE52" s="194"/>
      <c r="EF52" s="194"/>
      <c r="EG52" s="194"/>
      <c r="EH52" s="194"/>
      <c r="EI52" s="194"/>
      <c r="EJ52" s="194"/>
      <c r="EK52" s="196"/>
      <c r="EL52" s="196"/>
      <c r="EM52" s="48"/>
      <c r="EN52" s="55"/>
      <c r="EO52" s="48"/>
      <c r="EP52" s="48"/>
      <c r="EQ52" s="196"/>
      <c r="ER52" s="194"/>
      <c r="ES52" s="48"/>
      <c r="ET52" s="194"/>
      <c r="EU52" s="194"/>
      <c r="EV52" s="194"/>
      <c r="EW52" s="211" t="s">
        <v>3892</v>
      </c>
      <c r="EX52" s="211" t="s">
        <v>3964</v>
      </c>
      <c r="EY52" s="211" t="s">
        <v>4026</v>
      </c>
      <c r="EZ52" s="211" t="s">
        <v>4088</v>
      </c>
      <c r="FA52" s="211" t="s">
        <v>4150</v>
      </c>
      <c r="FB52" s="211" t="s">
        <v>4214</v>
      </c>
      <c r="FC52" s="211" t="s">
        <v>4275</v>
      </c>
      <c r="FD52" s="211" t="s">
        <v>4336</v>
      </c>
      <c r="FE52" s="211" t="s">
        <v>4397</v>
      </c>
      <c r="FF52" s="194"/>
      <c r="FG52" s="194"/>
      <c r="FH52" s="194"/>
      <c r="FI52" s="194"/>
      <c r="FJ52" s="55"/>
      <c r="FK52" s="194"/>
      <c r="FL52" s="197"/>
      <c r="FM52" s="194"/>
      <c r="FN52" s="198"/>
      <c r="FO52" s="194"/>
      <c r="FP52" s="198"/>
      <c r="FQ52" s="194"/>
      <c r="FR52" s="43"/>
      <c r="FS52" s="194"/>
      <c r="FT52" s="194"/>
      <c r="FU52" s="194"/>
      <c r="FV52" s="199"/>
      <c r="FW52" s="194"/>
      <c r="FX52" s="200"/>
    </row>
    <row r="53" spans="1:180" ht="15" customHeight="1" x14ac:dyDescent="0.2">
      <c r="A53" s="132" t="s">
        <v>289</v>
      </c>
      <c r="B53" s="189" t="s">
        <v>2858</v>
      </c>
      <c r="C53" s="189" t="s">
        <v>2940</v>
      </c>
      <c r="D53" s="211" t="s">
        <v>3198</v>
      </c>
      <c r="E53" s="70" t="s">
        <v>24</v>
      </c>
      <c r="F53" s="133" t="s">
        <v>24</v>
      </c>
      <c r="G53" s="53"/>
      <c r="H53" s="211" t="s">
        <v>3295</v>
      </c>
      <c r="I53" s="211" t="s">
        <v>3395</v>
      </c>
      <c r="J53" s="211" t="s">
        <v>472</v>
      </c>
      <c r="K53" s="190"/>
      <c r="L53" s="189">
        <v>3</v>
      </c>
      <c r="M53" s="211" t="s">
        <v>3506</v>
      </c>
      <c r="N53" s="211" t="s">
        <v>3606</v>
      </c>
      <c r="O53" s="189" t="s">
        <v>292</v>
      </c>
      <c r="P53" s="189" t="s">
        <v>293</v>
      </c>
      <c r="Q53" s="211">
        <v>27052</v>
      </c>
      <c r="R53" s="189" t="s">
        <v>294</v>
      </c>
      <c r="S53" s="189" t="s">
        <v>3040</v>
      </c>
      <c r="T53" s="189" t="s">
        <v>3121</v>
      </c>
      <c r="U53" s="211">
        <v>7</v>
      </c>
      <c r="V53" s="211" t="s">
        <v>3656</v>
      </c>
      <c r="W53" s="211" t="s">
        <v>3698</v>
      </c>
      <c r="X53" s="53"/>
      <c r="Y53" s="211">
        <v>1</v>
      </c>
      <c r="Z53" s="189" t="s">
        <v>556</v>
      </c>
      <c r="AA53" s="189" t="s">
        <v>3142</v>
      </c>
      <c r="AB53" s="189" t="s">
        <v>3144</v>
      </c>
      <c r="AC53" s="211" t="s">
        <v>3799</v>
      </c>
      <c r="AD53" s="164" t="b">
        <v>0</v>
      </c>
      <c r="AE53" s="192"/>
      <c r="AF53" s="193"/>
      <c r="AG53" s="193"/>
      <c r="AH53" s="193"/>
      <c r="AI53" s="193"/>
      <c r="AJ53" s="193"/>
      <c r="AK53" s="193"/>
      <c r="AL53" s="194"/>
      <c r="AM53" s="48"/>
      <c r="AN53" s="48"/>
      <c r="AO53" s="48"/>
      <c r="AP53" s="194"/>
      <c r="AQ53" s="194"/>
      <c r="AR53" s="194"/>
      <c r="AS53" s="194"/>
      <c r="AT53" s="194"/>
      <c r="AU53" s="194"/>
      <c r="AV53" s="194"/>
      <c r="AW53" s="194"/>
      <c r="AX53" s="194"/>
      <c r="AY53" s="194"/>
      <c r="AZ53" s="194"/>
      <c r="BA53" s="194"/>
      <c r="BB53" s="194"/>
      <c r="BC53" s="194"/>
      <c r="BD53" s="194"/>
      <c r="BE53" s="194"/>
      <c r="BF53" s="194"/>
      <c r="BG53" s="194"/>
      <c r="BH53" s="194"/>
      <c r="BI53" s="194"/>
      <c r="BJ53" s="194"/>
      <c r="BK53" s="194"/>
      <c r="BL53" s="194"/>
      <c r="BM53" s="194"/>
      <c r="BN53" s="194"/>
      <c r="BO53" s="194"/>
      <c r="BP53" s="194"/>
      <c r="BQ53" s="194"/>
      <c r="BR53" s="194"/>
      <c r="BS53" s="194"/>
      <c r="BT53" s="194"/>
      <c r="BU53" s="194"/>
      <c r="BV53" s="194"/>
      <c r="BW53" s="194"/>
      <c r="BX53" s="194"/>
      <c r="BY53" s="194"/>
      <c r="BZ53" s="194"/>
      <c r="CA53" s="194"/>
      <c r="CB53" s="194"/>
      <c r="CC53" s="194"/>
      <c r="CD53" s="194"/>
      <c r="CE53" s="194"/>
      <c r="CF53" s="194"/>
      <c r="CG53" s="194"/>
      <c r="CH53" s="194"/>
      <c r="CI53" s="194"/>
      <c r="CJ53" s="194"/>
      <c r="CK53" s="194"/>
      <c r="CL53" s="194"/>
      <c r="CM53" s="194"/>
      <c r="CN53" s="194"/>
      <c r="CO53" s="194"/>
      <c r="CP53" s="48"/>
      <c r="CQ53" s="194"/>
      <c r="CR53" s="194"/>
      <c r="CS53" s="194"/>
      <c r="CT53" s="194"/>
      <c r="CU53" s="194"/>
      <c r="CV53" s="194"/>
      <c r="CW53" s="194"/>
      <c r="CX53" s="194"/>
      <c r="CY53" s="194"/>
      <c r="CZ53" s="194"/>
      <c r="DA53" s="194"/>
      <c r="DB53" s="194"/>
      <c r="DC53" s="194"/>
      <c r="DD53" s="196"/>
      <c r="DE53" s="194"/>
      <c r="DF53" s="194"/>
      <c r="DG53" s="196"/>
      <c r="DH53" s="196"/>
      <c r="DI53" s="196"/>
      <c r="DJ53" s="194"/>
      <c r="DK53" s="194"/>
      <c r="DL53" s="194"/>
      <c r="DM53" s="194"/>
      <c r="DN53" s="194"/>
      <c r="DO53" s="194"/>
      <c r="DP53" s="194"/>
      <c r="DQ53" s="196"/>
      <c r="DR53" s="194"/>
      <c r="DS53" s="196"/>
      <c r="DT53" s="194"/>
      <c r="DU53" s="194"/>
      <c r="DV53" s="194"/>
      <c r="DW53" s="194"/>
      <c r="DX53" s="194"/>
      <c r="DY53" s="194"/>
      <c r="DZ53" s="194"/>
      <c r="EA53" s="194"/>
      <c r="EB53" s="194"/>
      <c r="EC53" s="194"/>
      <c r="ED53" s="194"/>
      <c r="EE53" s="194"/>
      <c r="EF53" s="194"/>
      <c r="EG53" s="194"/>
      <c r="EH53" s="194"/>
      <c r="EI53" s="194"/>
      <c r="EJ53" s="194"/>
      <c r="EK53" s="196"/>
      <c r="EL53" s="196"/>
      <c r="EM53" s="48"/>
      <c r="EN53" s="55"/>
      <c r="EO53" s="48"/>
      <c r="EP53" s="48"/>
      <c r="EQ53" s="196"/>
      <c r="ER53" s="194"/>
      <c r="ES53" s="48"/>
      <c r="ET53" s="194"/>
      <c r="EU53" s="194"/>
      <c r="EV53" s="194"/>
      <c r="EW53" s="211" t="s">
        <v>3893</v>
      </c>
      <c r="EX53" s="211" t="s">
        <v>3959</v>
      </c>
      <c r="EY53" s="211" t="s">
        <v>4021</v>
      </c>
      <c r="EZ53" s="211" t="s">
        <v>4083</v>
      </c>
      <c r="FA53" s="211" t="s">
        <v>4145</v>
      </c>
      <c r="FB53" s="211" t="s">
        <v>4209</v>
      </c>
      <c r="FC53" s="211" t="s">
        <v>4270</v>
      </c>
      <c r="FD53" s="211" t="s">
        <v>4331</v>
      </c>
      <c r="FE53" s="211" t="s">
        <v>4392</v>
      </c>
      <c r="FF53" s="194"/>
      <c r="FG53" s="194"/>
      <c r="FH53" s="194"/>
      <c r="FI53" s="194"/>
      <c r="FJ53" s="55"/>
      <c r="FK53" s="194"/>
      <c r="FL53" s="197"/>
      <c r="FM53" s="194"/>
      <c r="FN53" s="198"/>
      <c r="FO53" s="194"/>
      <c r="FP53" s="198"/>
      <c r="FQ53" s="194"/>
      <c r="FR53" s="43"/>
      <c r="FS53" s="194"/>
      <c r="FT53" s="194"/>
      <c r="FU53" s="194"/>
      <c r="FV53" s="199"/>
      <c r="FW53" s="194"/>
      <c r="FX53" s="200"/>
    </row>
    <row r="54" spans="1:180" ht="15" customHeight="1" x14ac:dyDescent="0.2">
      <c r="A54" s="149" t="s">
        <v>289</v>
      </c>
      <c r="B54" s="189" t="s">
        <v>2859</v>
      </c>
      <c r="C54" s="189" t="s">
        <v>2941</v>
      </c>
      <c r="D54" s="211" t="s">
        <v>3199</v>
      </c>
      <c r="E54" s="53" t="s">
        <v>472</v>
      </c>
      <c r="F54" s="53" t="s">
        <v>407</v>
      </c>
      <c r="G54" s="53"/>
      <c r="H54" s="211" t="s">
        <v>3296</v>
      </c>
      <c r="I54" s="211" t="s">
        <v>3396</v>
      </c>
      <c r="J54" s="211" t="s">
        <v>24</v>
      </c>
      <c r="K54" s="190"/>
      <c r="L54" s="189">
        <v>1</v>
      </c>
      <c r="M54" s="211" t="s">
        <v>3507</v>
      </c>
      <c r="N54" s="211" t="s">
        <v>3607</v>
      </c>
      <c r="O54" s="189" t="s">
        <v>292</v>
      </c>
      <c r="P54" s="189" t="s">
        <v>293</v>
      </c>
      <c r="Q54" s="211">
        <v>27053</v>
      </c>
      <c r="R54" s="189" t="s">
        <v>294</v>
      </c>
      <c r="S54" s="189" t="s">
        <v>3041</v>
      </c>
      <c r="T54" s="189" t="s">
        <v>3122</v>
      </c>
      <c r="U54" s="211">
        <v>8</v>
      </c>
      <c r="V54" s="211" t="s">
        <v>3656</v>
      </c>
      <c r="W54" s="211" t="s">
        <v>3699</v>
      </c>
      <c r="X54" s="53"/>
      <c r="Y54" s="211">
        <v>1</v>
      </c>
      <c r="Z54" s="189" t="s">
        <v>298</v>
      </c>
      <c r="AA54" s="189" t="s">
        <v>299</v>
      </c>
      <c r="AB54" s="189" t="s">
        <v>3145</v>
      </c>
      <c r="AC54" s="211" t="s">
        <v>3800</v>
      </c>
      <c r="AD54" s="164" t="b">
        <v>1</v>
      </c>
      <c r="AE54" s="192"/>
      <c r="AF54" s="193"/>
      <c r="AG54" s="193"/>
      <c r="AH54" s="193"/>
      <c r="AI54" s="193"/>
      <c r="AJ54" s="193"/>
      <c r="AK54" s="193"/>
      <c r="AL54" s="194"/>
      <c r="AM54" s="48"/>
      <c r="AN54" s="48"/>
      <c r="AO54" s="48"/>
      <c r="AP54" s="194"/>
      <c r="AQ54" s="194"/>
      <c r="AR54" s="194"/>
      <c r="AS54" s="194"/>
      <c r="AT54" s="194"/>
      <c r="AU54" s="194"/>
      <c r="AV54" s="194"/>
      <c r="AW54" s="194"/>
      <c r="AX54" s="194"/>
      <c r="AY54" s="194"/>
      <c r="AZ54" s="194"/>
      <c r="BA54" s="194"/>
      <c r="BB54" s="194"/>
      <c r="BC54" s="194"/>
      <c r="BD54" s="194"/>
      <c r="BE54" s="194"/>
      <c r="BF54" s="194"/>
      <c r="BG54" s="194"/>
      <c r="BH54" s="194"/>
      <c r="BI54" s="194"/>
      <c r="BJ54" s="194"/>
      <c r="BK54" s="194"/>
      <c r="BL54" s="194"/>
      <c r="BM54" s="194"/>
      <c r="BN54" s="194"/>
      <c r="BO54" s="194"/>
      <c r="BP54" s="194"/>
      <c r="BQ54" s="194"/>
      <c r="BR54" s="194"/>
      <c r="BS54" s="194"/>
      <c r="BT54" s="194"/>
      <c r="BU54" s="194"/>
      <c r="BV54" s="194"/>
      <c r="BW54" s="194"/>
      <c r="BX54" s="194"/>
      <c r="BY54" s="194"/>
      <c r="BZ54" s="194"/>
      <c r="CA54" s="194"/>
      <c r="CB54" s="194"/>
      <c r="CC54" s="194"/>
      <c r="CD54" s="194"/>
      <c r="CE54" s="194"/>
      <c r="CF54" s="194"/>
      <c r="CG54" s="194"/>
      <c r="CH54" s="194"/>
      <c r="CI54" s="194"/>
      <c r="CJ54" s="194"/>
      <c r="CK54" s="194"/>
      <c r="CL54" s="194"/>
      <c r="CM54" s="194"/>
      <c r="CN54" s="194"/>
      <c r="CO54" s="194"/>
      <c r="CP54" s="48"/>
      <c r="CQ54" s="194"/>
      <c r="CR54" s="194"/>
      <c r="CS54" s="194"/>
      <c r="CT54" s="194"/>
      <c r="CU54" s="194"/>
      <c r="CV54" s="194"/>
      <c r="CW54" s="194"/>
      <c r="CX54" s="194"/>
      <c r="CY54" s="194"/>
      <c r="CZ54" s="194"/>
      <c r="DA54" s="194"/>
      <c r="DB54" s="194"/>
      <c r="DC54" s="194"/>
      <c r="DD54" s="196"/>
      <c r="DE54" s="194"/>
      <c r="DF54" s="194"/>
      <c r="DG54" s="196"/>
      <c r="DH54" s="196"/>
      <c r="DI54" s="196"/>
      <c r="DJ54" s="194"/>
      <c r="DK54" s="194"/>
      <c r="DL54" s="194"/>
      <c r="DM54" s="194"/>
      <c r="DN54" s="194"/>
      <c r="DO54" s="194"/>
      <c r="DP54" s="194"/>
      <c r="DQ54" s="196"/>
      <c r="DR54" s="194"/>
      <c r="DS54" s="196"/>
      <c r="DT54" s="194"/>
      <c r="DU54" s="194"/>
      <c r="DV54" s="194"/>
      <c r="DW54" s="194"/>
      <c r="DX54" s="194"/>
      <c r="DY54" s="194"/>
      <c r="DZ54" s="194"/>
      <c r="EA54" s="194"/>
      <c r="EB54" s="194"/>
      <c r="EC54" s="194"/>
      <c r="ED54" s="194"/>
      <c r="EE54" s="194"/>
      <c r="EF54" s="194"/>
      <c r="EG54" s="194"/>
      <c r="EH54" s="194"/>
      <c r="EI54" s="194"/>
      <c r="EJ54" s="194"/>
      <c r="EK54" s="196"/>
      <c r="EL54" s="196"/>
      <c r="EM54" s="48"/>
      <c r="EN54" s="55"/>
      <c r="EO54" s="48"/>
      <c r="EP54" s="48"/>
      <c r="EQ54" s="196"/>
      <c r="ER54" s="194"/>
      <c r="ES54" s="48"/>
      <c r="ET54" s="194"/>
      <c r="EU54" s="194"/>
      <c r="EV54" s="194"/>
      <c r="EW54" s="211" t="s">
        <v>3894</v>
      </c>
      <c r="EX54" s="211" t="s">
        <v>3956</v>
      </c>
      <c r="EY54" s="211" t="s">
        <v>4018</v>
      </c>
      <c r="EZ54" s="211" t="s">
        <v>4080</v>
      </c>
      <c r="FA54" s="211" t="s">
        <v>4142</v>
      </c>
      <c r="FB54" s="211" t="s">
        <v>4206</v>
      </c>
      <c r="FC54" s="211" t="s">
        <v>4267</v>
      </c>
      <c r="FD54" s="211" t="s">
        <v>4328</v>
      </c>
      <c r="FE54" s="211" t="s">
        <v>4389</v>
      </c>
      <c r="FF54" s="194"/>
      <c r="FG54" s="194"/>
      <c r="FH54" s="194"/>
      <c r="FI54" s="194"/>
      <c r="FJ54" s="55"/>
      <c r="FK54" s="194"/>
      <c r="FL54" s="197"/>
      <c r="FM54" s="194"/>
      <c r="FN54" s="198"/>
      <c r="FO54" s="194"/>
      <c r="FP54" s="198"/>
      <c r="FQ54" s="194"/>
      <c r="FR54" s="43"/>
      <c r="FS54" s="194"/>
      <c r="FT54" s="194"/>
      <c r="FU54" s="194"/>
      <c r="FV54" s="199"/>
      <c r="FW54" s="194"/>
      <c r="FX54" s="200"/>
    </row>
    <row r="55" spans="1:180" ht="15" customHeight="1" x14ac:dyDescent="0.2">
      <c r="A55" s="159" t="s">
        <v>289</v>
      </c>
      <c r="B55" s="189" t="s">
        <v>2860</v>
      </c>
      <c r="C55" s="189" t="s">
        <v>2942</v>
      </c>
      <c r="D55" s="211" t="s">
        <v>3200</v>
      </c>
      <c r="E55" s="53" t="s">
        <v>24</v>
      </c>
      <c r="F55" s="53" t="s">
        <v>24</v>
      </c>
      <c r="G55" s="53"/>
      <c r="H55" s="211" t="s">
        <v>3297</v>
      </c>
      <c r="I55" s="211" t="s">
        <v>3397</v>
      </c>
      <c r="J55" s="211" t="s">
        <v>3443</v>
      </c>
      <c r="K55" s="190"/>
      <c r="L55" s="189">
        <v>4</v>
      </c>
      <c r="M55" s="211" t="s">
        <v>3508</v>
      </c>
      <c r="N55" s="211" t="s">
        <v>3608</v>
      </c>
      <c r="O55" s="189" t="s">
        <v>292</v>
      </c>
      <c r="P55" s="189" t="s">
        <v>293</v>
      </c>
      <c r="Q55" s="211">
        <v>27054</v>
      </c>
      <c r="R55" s="189" t="s">
        <v>294</v>
      </c>
      <c r="S55" s="189" t="s">
        <v>3042</v>
      </c>
      <c r="T55" s="189" t="s">
        <v>3123</v>
      </c>
      <c r="U55" s="211">
        <v>10</v>
      </c>
      <c r="V55" s="211" t="s">
        <v>3656</v>
      </c>
      <c r="W55" s="211" t="s">
        <v>3700</v>
      </c>
      <c r="X55" s="53"/>
      <c r="Y55" s="211">
        <v>1</v>
      </c>
      <c r="Z55" s="189" t="s">
        <v>556</v>
      </c>
      <c r="AA55" s="189" t="s">
        <v>3143</v>
      </c>
      <c r="AB55" s="189" t="s">
        <v>410</v>
      </c>
      <c r="AC55" s="211" t="s">
        <v>3801</v>
      </c>
      <c r="AD55" s="164" t="b">
        <v>1</v>
      </c>
      <c r="AE55" s="192"/>
      <c r="AF55" s="193"/>
      <c r="AG55" s="193"/>
      <c r="AH55" s="193"/>
      <c r="AI55" s="193"/>
      <c r="AJ55" s="193"/>
      <c r="AK55" s="193"/>
      <c r="AL55" s="194"/>
      <c r="AM55" s="48"/>
      <c r="AN55" s="48"/>
      <c r="AO55" s="48"/>
      <c r="AP55" s="194"/>
      <c r="AQ55" s="194"/>
      <c r="AR55" s="194"/>
      <c r="AS55" s="194"/>
      <c r="AT55" s="194"/>
      <c r="AU55" s="194"/>
      <c r="AV55" s="194"/>
      <c r="AW55" s="194"/>
      <c r="AX55" s="194"/>
      <c r="AY55" s="194"/>
      <c r="AZ55" s="194"/>
      <c r="BA55" s="194"/>
      <c r="BB55" s="194"/>
      <c r="BC55" s="194"/>
      <c r="BD55" s="194"/>
      <c r="BE55" s="194"/>
      <c r="BF55" s="194"/>
      <c r="BG55" s="194"/>
      <c r="BH55" s="194"/>
      <c r="BI55" s="194"/>
      <c r="BJ55" s="194"/>
      <c r="BK55" s="194"/>
      <c r="BL55" s="194"/>
      <c r="BM55" s="194"/>
      <c r="BN55" s="194"/>
      <c r="BO55" s="194"/>
      <c r="BP55" s="194"/>
      <c r="BQ55" s="194"/>
      <c r="BR55" s="194"/>
      <c r="BS55" s="194"/>
      <c r="BT55" s="194"/>
      <c r="BU55" s="194"/>
      <c r="BV55" s="194"/>
      <c r="BW55" s="194"/>
      <c r="BX55" s="194"/>
      <c r="BY55" s="194"/>
      <c r="BZ55" s="194"/>
      <c r="CA55" s="194"/>
      <c r="CB55" s="194"/>
      <c r="CC55" s="194"/>
      <c r="CD55" s="194"/>
      <c r="CE55" s="194"/>
      <c r="CF55" s="194"/>
      <c r="CG55" s="194"/>
      <c r="CH55" s="194"/>
      <c r="CI55" s="194"/>
      <c r="CJ55" s="194"/>
      <c r="CK55" s="194"/>
      <c r="CL55" s="194"/>
      <c r="CM55" s="194"/>
      <c r="CN55" s="194"/>
      <c r="CO55" s="194"/>
      <c r="CP55" s="48"/>
      <c r="CQ55" s="194"/>
      <c r="CR55" s="194"/>
      <c r="CS55" s="194"/>
      <c r="CT55" s="194"/>
      <c r="CU55" s="194"/>
      <c r="CV55" s="194"/>
      <c r="CW55" s="194"/>
      <c r="CX55" s="194"/>
      <c r="CY55" s="194"/>
      <c r="CZ55" s="194"/>
      <c r="DA55" s="194"/>
      <c r="DB55" s="194"/>
      <c r="DC55" s="194"/>
      <c r="DD55" s="196"/>
      <c r="DE55" s="194"/>
      <c r="DF55" s="194"/>
      <c r="DG55" s="196"/>
      <c r="DH55" s="196"/>
      <c r="DI55" s="196"/>
      <c r="DJ55" s="194"/>
      <c r="DK55" s="194"/>
      <c r="DL55" s="194"/>
      <c r="DM55" s="194"/>
      <c r="DN55" s="194"/>
      <c r="DO55" s="194"/>
      <c r="DP55" s="194"/>
      <c r="DQ55" s="196"/>
      <c r="DR55" s="194"/>
      <c r="DS55" s="196"/>
      <c r="DT55" s="194"/>
      <c r="DU55" s="194"/>
      <c r="DV55" s="194"/>
      <c r="DW55" s="194"/>
      <c r="DX55" s="194"/>
      <c r="DY55" s="194"/>
      <c r="DZ55" s="194"/>
      <c r="EA55" s="194"/>
      <c r="EB55" s="194"/>
      <c r="EC55" s="194"/>
      <c r="ED55" s="194"/>
      <c r="EE55" s="194"/>
      <c r="EF55" s="194"/>
      <c r="EG55" s="194"/>
      <c r="EH55" s="194"/>
      <c r="EI55" s="194"/>
      <c r="EJ55" s="194"/>
      <c r="EK55" s="196"/>
      <c r="EL55" s="196"/>
      <c r="EM55" s="48"/>
      <c r="EN55" s="55"/>
      <c r="EO55" s="48"/>
      <c r="EP55" s="48"/>
      <c r="EQ55" s="196"/>
      <c r="ER55" s="194"/>
      <c r="ES55" s="48"/>
      <c r="ET55" s="194"/>
      <c r="EU55" s="194"/>
      <c r="EV55" s="194"/>
      <c r="EW55" s="211" t="s">
        <v>3895</v>
      </c>
      <c r="EX55" s="211" t="s">
        <v>3965</v>
      </c>
      <c r="EY55" s="211" t="s">
        <v>4027</v>
      </c>
      <c r="EZ55" s="211" t="s">
        <v>4089</v>
      </c>
      <c r="FA55" s="211" t="s">
        <v>4151</v>
      </c>
      <c r="FB55" s="211" t="s">
        <v>4215</v>
      </c>
      <c r="FC55" s="211" t="s">
        <v>4276</v>
      </c>
      <c r="FD55" s="211" t="s">
        <v>4337</v>
      </c>
      <c r="FE55" s="211" t="s">
        <v>4398</v>
      </c>
      <c r="FF55" s="194"/>
      <c r="FG55" s="194"/>
      <c r="FH55" s="194"/>
      <c r="FI55" s="194"/>
      <c r="FJ55" s="55"/>
      <c r="FK55" s="194"/>
      <c r="FL55" s="197"/>
      <c r="FM55" s="194"/>
      <c r="FN55" s="198"/>
      <c r="FO55" s="194"/>
      <c r="FP55" s="198"/>
      <c r="FQ55" s="194"/>
      <c r="FR55" s="43"/>
      <c r="FS55" s="194"/>
      <c r="FT55" s="194"/>
      <c r="FU55" s="194"/>
      <c r="FV55" s="199"/>
      <c r="FW55" s="194"/>
      <c r="FX55" s="200"/>
    </row>
    <row r="56" spans="1:180" ht="15" customHeight="1" x14ac:dyDescent="0.2">
      <c r="A56" s="68" t="s">
        <v>289</v>
      </c>
      <c r="B56" s="189" t="s">
        <v>2838</v>
      </c>
      <c r="C56" s="189" t="s">
        <v>2943</v>
      </c>
      <c r="D56" s="211" t="s">
        <v>3201</v>
      </c>
      <c r="E56" s="53" t="s">
        <v>24</v>
      </c>
      <c r="F56" s="53" t="s">
        <v>755</v>
      </c>
      <c r="G56" s="53"/>
      <c r="H56" s="211" t="s">
        <v>3298</v>
      </c>
      <c r="I56" s="211" t="s">
        <v>3398</v>
      </c>
      <c r="J56" s="211" t="s">
        <v>870</v>
      </c>
      <c r="K56" s="190"/>
      <c r="L56" s="189">
        <v>2</v>
      </c>
      <c r="M56" s="211" t="s">
        <v>3509</v>
      </c>
      <c r="N56" s="211" t="s">
        <v>3609</v>
      </c>
      <c r="O56" s="189" t="s">
        <v>292</v>
      </c>
      <c r="P56" s="189" t="s">
        <v>293</v>
      </c>
      <c r="Q56" s="211">
        <v>27055</v>
      </c>
      <c r="R56" s="189" t="s">
        <v>294</v>
      </c>
      <c r="S56" s="189" t="s">
        <v>3043</v>
      </c>
      <c r="T56" s="189" t="s">
        <v>3089</v>
      </c>
      <c r="U56" s="211">
        <v>16</v>
      </c>
      <c r="V56" s="211" t="s">
        <v>3656</v>
      </c>
      <c r="W56" s="211" t="s">
        <v>3701</v>
      </c>
      <c r="X56" s="53" t="s">
        <v>472</v>
      </c>
      <c r="Y56" s="211">
        <v>1</v>
      </c>
      <c r="Z56" s="189" t="s">
        <v>1120</v>
      </c>
      <c r="AA56" s="189" t="s">
        <v>3142</v>
      </c>
      <c r="AB56" s="189" t="s">
        <v>3146</v>
      </c>
      <c r="AC56" s="211" t="s">
        <v>3802</v>
      </c>
      <c r="AD56" s="164" t="b">
        <v>1</v>
      </c>
      <c r="AE56" s="192"/>
      <c r="AF56" s="193"/>
      <c r="AG56" s="193"/>
      <c r="AH56" s="193"/>
      <c r="AI56" s="193"/>
      <c r="AJ56" s="193"/>
      <c r="AK56" s="193"/>
      <c r="AL56" s="194"/>
      <c r="AM56" s="48"/>
      <c r="AN56" s="48"/>
      <c r="AO56" s="48"/>
      <c r="AP56" s="194"/>
      <c r="AQ56" s="194"/>
      <c r="AR56" s="194"/>
      <c r="AS56" s="194"/>
      <c r="AT56" s="194"/>
      <c r="AU56" s="194"/>
      <c r="AV56" s="194"/>
      <c r="AW56" s="194"/>
      <c r="AX56" s="194"/>
      <c r="AY56" s="194"/>
      <c r="AZ56" s="194"/>
      <c r="BA56" s="194"/>
      <c r="BB56" s="194"/>
      <c r="BC56" s="194"/>
      <c r="BD56" s="194"/>
      <c r="BE56" s="194"/>
      <c r="BF56" s="194"/>
      <c r="BG56" s="194"/>
      <c r="BH56" s="194"/>
      <c r="BI56" s="194"/>
      <c r="BJ56" s="194"/>
      <c r="BK56" s="194"/>
      <c r="BL56" s="194"/>
      <c r="BM56" s="194"/>
      <c r="BN56" s="194"/>
      <c r="BO56" s="194"/>
      <c r="BP56" s="194"/>
      <c r="BQ56" s="194"/>
      <c r="BR56" s="194"/>
      <c r="BS56" s="194"/>
      <c r="BT56" s="194"/>
      <c r="BU56" s="194"/>
      <c r="BV56" s="194"/>
      <c r="BW56" s="194"/>
      <c r="BX56" s="194"/>
      <c r="BY56" s="194"/>
      <c r="BZ56" s="194"/>
      <c r="CA56" s="194"/>
      <c r="CB56" s="194"/>
      <c r="CC56" s="194"/>
      <c r="CD56" s="194"/>
      <c r="CE56" s="194"/>
      <c r="CF56" s="194"/>
      <c r="CG56" s="194"/>
      <c r="CH56" s="194"/>
      <c r="CI56" s="194"/>
      <c r="CJ56" s="194"/>
      <c r="CK56" s="194"/>
      <c r="CL56" s="194"/>
      <c r="CM56" s="194"/>
      <c r="CN56" s="194"/>
      <c r="CO56" s="194"/>
      <c r="CP56" s="48"/>
      <c r="CQ56" s="194"/>
      <c r="CR56" s="194"/>
      <c r="CS56" s="194"/>
      <c r="CT56" s="194"/>
      <c r="CU56" s="194"/>
      <c r="CV56" s="194"/>
      <c r="CW56" s="194"/>
      <c r="CX56" s="194"/>
      <c r="CY56" s="194"/>
      <c r="CZ56" s="194"/>
      <c r="DA56" s="194"/>
      <c r="DB56" s="194"/>
      <c r="DC56" s="194"/>
      <c r="DD56" s="196"/>
      <c r="DE56" s="194"/>
      <c r="DF56" s="194"/>
      <c r="DG56" s="196"/>
      <c r="DH56" s="196"/>
      <c r="DI56" s="196"/>
      <c r="DJ56" s="194"/>
      <c r="DK56" s="194"/>
      <c r="DL56" s="194"/>
      <c r="DM56" s="194"/>
      <c r="DN56" s="194"/>
      <c r="DO56" s="194"/>
      <c r="DP56" s="194"/>
      <c r="DQ56" s="196"/>
      <c r="DR56" s="194"/>
      <c r="DS56" s="196"/>
      <c r="DT56" s="194"/>
      <c r="DU56" s="194"/>
      <c r="DV56" s="194"/>
      <c r="DW56" s="194"/>
      <c r="DX56" s="194"/>
      <c r="DY56" s="194"/>
      <c r="DZ56" s="194"/>
      <c r="EA56" s="194"/>
      <c r="EB56" s="194"/>
      <c r="EC56" s="194"/>
      <c r="ED56" s="194"/>
      <c r="EE56" s="194"/>
      <c r="EF56" s="194"/>
      <c r="EG56" s="194"/>
      <c r="EH56" s="194"/>
      <c r="EI56" s="194"/>
      <c r="EJ56" s="194"/>
      <c r="EK56" s="196"/>
      <c r="EL56" s="196"/>
      <c r="EM56" s="48"/>
      <c r="EN56" s="55"/>
      <c r="EO56" s="48"/>
      <c r="EP56" s="48"/>
      <c r="EQ56" s="196"/>
      <c r="ER56" s="194"/>
      <c r="ES56" s="48"/>
      <c r="ET56" s="194"/>
      <c r="EU56" s="194"/>
      <c r="EV56" s="194"/>
      <c r="EW56" s="211" t="s">
        <v>3896</v>
      </c>
      <c r="EX56" s="211" t="s">
        <v>3966</v>
      </c>
      <c r="EY56" s="211" t="s">
        <v>4028</v>
      </c>
      <c r="EZ56" s="211" t="s">
        <v>4090</v>
      </c>
      <c r="FA56" s="211" t="s">
        <v>4152</v>
      </c>
      <c r="FB56" s="211" t="s">
        <v>4216</v>
      </c>
      <c r="FC56" s="211" t="s">
        <v>4277</v>
      </c>
      <c r="FD56" s="211" t="s">
        <v>4338</v>
      </c>
      <c r="FE56" s="211" t="s">
        <v>4399</v>
      </c>
      <c r="FF56" s="194"/>
      <c r="FG56" s="194"/>
      <c r="FH56" s="194"/>
      <c r="FI56" s="194"/>
      <c r="FJ56" s="55"/>
      <c r="FK56" s="194"/>
      <c r="FL56" s="197"/>
      <c r="FM56" s="194"/>
      <c r="FN56" s="198"/>
      <c r="FO56" s="194"/>
      <c r="FP56" s="198"/>
      <c r="FQ56" s="194"/>
      <c r="FR56" s="43"/>
      <c r="FS56" s="194"/>
      <c r="FT56" s="194"/>
      <c r="FU56" s="194"/>
      <c r="FV56" s="199"/>
      <c r="FW56" s="194"/>
      <c r="FX56" s="200"/>
    </row>
    <row r="57" spans="1:180" ht="15" customHeight="1" x14ac:dyDescent="0.2">
      <c r="A57" s="185" t="s">
        <v>289</v>
      </c>
      <c r="B57" s="189" t="s">
        <v>2833</v>
      </c>
      <c r="C57" s="189" t="s">
        <v>2944</v>
      </c>
      <c r="D57" s="211" t="s">
        <v>3202</v>
      </c>
      <c r="E57" s="53" t="s">
        <v>698</v>
      </c>
      <c r="F57" s="53" t="s">
        <v>24</v>
      </c>
      <c r="G57" s="53"/>
      <c r="H57" s="211" t="s">
        <v>3299</v>
      </c>
      <c r="I57" s="211" t="s">
        <v>3399</v>
      </c>
      <c r="J57" s="211" t="s">
        <v>24</v>
      </c>
      <c r="K57" s="190"/>
      <c r="L57" s="189">
        <v>1</v>
      </c>
      <c r="M57" s="211" t="s">
        <v>3510</v>
      </c>
      <c r="N57" s="211" t="s">
        <v>3610</v>
      </c>
      <c r="O57" s="189" t="s">
        <v>292</v>
      </c>
      <c r="P57" s="189" t="s">
        <v>293</v>
      </c>
      <c r="Q57" s="211">
        <v>27056</v>
      </c>
      <c r="R57" s="189" t="s">
        <v>294</v>
      </c>
      <c r="S57" s="189" t="s">
        <v>3044</v>
      </c>
      <c r="T57" s="189" t="s">
        <v>3097</v>
      </c>
      <c r="U57" s="211">
        <v>11</v>
      </c>
      <c r="V57" s="211" t="s">
        <v>3656</v>
      </c>
      <c r="W57" s="211" t="s">
        <v>3702</v>
      </c>
      <c r="X57" s="53"/>
      <c r="Y57" s="211">
        <v>1</v>
      </c>
      <c r="Z57" s="189" t="s">
        <v>298</v>
      </c>
      <c r="AA57" s="189" t="s">
        <v>3142</v>
      </c>
      <c r="AB57" s="189" t="s">
        <v>3145</v>
      </c>
      <c r="AC57" s="211" t="s">
        <v>3803</v>
      </c>
      <c r="AD57" s="164" t="b">
        <v>0</v>
      </c>
      <c r="AE57" s="192"/>
      <c r="AF57" s="193"/>
      <c r="AG57" s="193"/>
      <c r="AH57" s="193"/>
      <c r="AI57" s="193"/>
      <c r="AJ57" s="193"/>
      <c r="AK57" s="193"/>
      <c r="AL57" s="194"/>
      <c r="AM57" s="48"/>
      <c r="AN57" s="48"/>
      <c r="AO57" s="48"/>
      <c r="AP57" s="194"/>
      <c r="AQ57" s="194"/>
      <c r="AR57" s="194"/>
      <c r="AS57" s="194"/>
      <c r="AT57" s="194"/>
      <c r="AU57" s="194"/>
      <c r="AV57" s="194"/>
      <c r="AW57" s="194"/>
      <c r="AX57" s="194"/>
      <c r="AY57" s="194"/>
      <c r="AZ57" s="194"/>
      <c r="BA57" s="194"/>
      <c r="BB57" s="194"/>
      <c r="BC57" s="194"/>
      <c r="BD57" s="194"/>
      <c r="BE57" s="194"/>
      <c r="BF57" s="194"/>
      <c r="BG57" s="194"/>
      <c r="BH57" s="194"/>
      <c r="BI57" s="194"/>
      <c r="BJ57" s="194"/>
      <c r="BK57" s="194"/>
      <c r="BL57" s="194"/>
      <c r="BM57" s="194"/>
      <c r="BN57" s="194"/>
      <c r="BO57" s="194"/>
      <c r="BP57" s="194"/>
      <c r="BQ57" s="194"/>
      <c r="BR57" s="194"/>
      <c r="BS57" s="194"/>
      <c r="BT57" s="194"/>
      <c r="BU57" s="194"/>
      <c r="BV57" s="194"/>
      <c r="BW57" s="194"/>
      <c r="BX57" s="194"/>
      <c r="BY57" s="194"/>
      <c r="BZ57" s="194"/>
      <c r="CA57" s="194"/>
      <c r="CB57" s="194"/>
      <c r="CC57" s="194"/>
      <c r="CD57" s="194"/>
      <c r="CE57" s="194"/>
      <c r="CF57" s="194"/>
      <c r="CG57" s="194"/>
      <c r="CH57" s="194"/>
      <c r="CI57" s="194"/>
      <c r="CJ57" s="194"/>
      <c r="CK57" s="194"/>
      <c r="CL57" s="194"/>
      <c r="CM57" s="194"/>
      <c r="CN57" s="194"/>
      <c r="CO57" s="194"/>
      <c r="CP57" s="48"/>
      <c r="CQ57" s="194"/>
      <c r="CR57" s="194"/>
      <c r="CS57" s="194"/>
      <c r="CT57" s="194"/>
      <c r="CU57" s="194"/>
      <c r="CV57" s="194"/>
      <c r="CW57" s="194"/>
      <c r="CX57" s="194"/>
      <c r="CY57" s="194"/>
      <c r="CZ57" s="194"/>
      <c r="DA57" s="194"/>
      <c r="DB57" s="194"/>
      <c r="DC57" s="194"/>
      <c r="DD57" s="196"/>
      <c r="DE57" s="194"/>
      <c r="DF57" s="194"/>
      <c r="DG57" s="196"/>
      <c r="DH57" s="196"/>
      <c r="DI57" s="196"/>
      <c r="DJ57" s="194"/>
      <c r="DK57" s="194"/>
      <c r="DL57" s="194"/>
      <c r="DM57" s="194"/>
      <c r="DN57" s="194"/>
      <c r="DO57" s="194"/>
      <c r="DP57" s="194"/>
      <c r="DQ57" s="196"/>
      <c r="DR57" s="194"/>
      <c r="DS57" s="196"/>
      <c r="DT57" s="194"/>
      <c r="DU57" s="194"/>
      <c r="DV57" s="194"/>
      <c r="DW57" s="194"/>
      <c r="DX57" s="194"/>
      <c r="DY57" s="194"/>
      <c r="DZ57" s="194"/>
      <c r="EA57" s="194"/>
      <c r="EB57" s="194"/>
      <c r="EC57" s="194"/>
      <c r="ED57" s="194"/>
      <c r="EE57" s="194"/>
      <c r="EF57" s="194"/>
      <c r="EG57" s="194"/>
      <c r="EH57" s="194"/>
      <c r="EI57" s="194"/>
      <c r="EJ57" s="194"/>
      <c r="EK57" s="196"/>
      <c r="EL57" s="196"/>
      <c r="EM57" s="48"/>
      <c r="EN57" s="55"/>
      <c r="EO57" s="48"/>
      <c r="EP57" s="48"/>
      <c r="EQ57" s="196"/>
      <c r="ER57" s="194"/>
      <c r="ES57" s="48"/>
      <c r="ET57" s="194"/>
      <c r="EU57" s="194"/>
      <c r="EV57" s="194"/>
      <c r="EW57" s="211" t="s">
        <v>3857</v>
      </c>
      <c r="EX57" s="211" t="s">
        <v>3967</v>
      </c>
      <c r="EY57" s="211" t="s">
        <v>4029</v>
      </c>
      <c r="EZ57" s="211" t="s">
        <v>4091</v>
      </c>
      <c r="FA57" s="211" t="s">
        <v>4153</v>
      </c>
      <c r="FB57" s="211" t="s">
        <v>4217</v>
      </c>
      <c r="FC57" s="211" t="s">
        <v>4278</v>
      </c>
      <c r="FD57" s="211" t="s">
        <v>4339</v>
      </c>
      <c r="FE57" s="211" t="s">
        <v>4400</v>
      </c>
      <c r="FF57" s="194"/>
      <c r="FG57" s="194"/>
      <c r="FH57" s="194"/>
      <c r="FI57" s="194"/>
      <c r="FJ57" s="55"/>
      <c r="FK57" s="194"/>
      <c r="FL57" s="197"/>
      <c r="FM57" s="194"/>
      <c r="FN57" s="198"/>
      <c r="FO57" s="194"/>
      <c r="FP57" s="198"/>
      <c r="FQ57" s="194"/>
      <c r="FR57" s="43"/>
      <c r="FS57" s="194"/>
      <c r="FT57" s="194"/>
      <c r="FU57" s="194"/>
      <c r="FV57" s="199"/>
      <c r="FW57" s="194"/>
      <c r="FX57" s="200"/>
    </row>
    <row r="58" spans="1:180" ht="15" customHeight="1" x14ac:dyDescent="0.2">
      <c r="A58" s="143" t="s">
        <v>289</v>
      </c>
      <c r="B58" s="189" t="s">
        <v>2861</v>
      </c>
      <c r="C58" s="189" t="s">
        <v>2945</v>
      </c>
      <c r="D58" s="211" t="s">
        <v>3203</v>
      </c>
      <c r="E58" s="70" t="s">
        <v>24</v>
      </c>
      <c r="F58" s="53" t="s">
        <v>24</v>
      </c>
      <c r="G58" s="53"/>
      <c r="H58" s="211" t="s">
        <v>3300</v>
      </c>
      <c r="I58" s="211" t="s">
        <v>3400</v>
      </c>
      <c r="J58" s="211" t="s">
        <v>472</v>
      </c>
      <c r="K58" s="211" t="s">
        <v>3450</v>
      </c>
      <c r="L58" s="189">
        <v>6</v>
      </c>
      <c r="M58" s="211" t="s">
        <v>3511</v>
      </c>
      <c r="N58" s="211" t="s">
        <v>3611</v>
      </c>
      <c r="O58" s="189" t="s">
        <v>292</v>
      </c>
      <c r="P58" s="189" t="s">
        <v>293</v>
      </c>
      <c r="Q58" s="211">
        <v>27057</v>
      </c>
      <c r="R58" s="189" t="s">
        <v>294</v>
      </c>
      <c r="S58" s="189" t="s">
        <v>3045</v>
      </c>
      <c r="T58" s="189" t="s">
        <v>813</v>
      </c>
      <c r="U58" s="211">
        <v>14</v>
      </c>
      <c r="V58" s="211" t="s">
        <v>3656</v>
      </c>
      <c r="W58" s="211" t="s">
        <v>3703</v>
      </c>
      <c r="X58" s="53"/>
      <c r="Y58" s="211">
        <v>3</v>
      </c>
      <c r="Z58" s="189" t="s">
        <v>1120</v>
      </c>
      <c r="AA58" s="189" t="s">
        <v>299</v>
      </c>
      <c r="AB58" s="189" t="s">
        <v>3146</v>
      </c>
      <c r="AC58" s="211" t="s">
        <v>3804</v>
      </c>
      <c r="AD58" s="164" t="b">
        <v>0</v>
      </c>
      <c r="AE58" s="192"/>
      <c r="AF58" s="193"/>
      <c r="AG58" s="193"/>
      <c r="AH58" s="193"/>
      <c r="AI58" s="193"/>
      <c r="AJ58" s="193"/>
      <c r="AK58" s="193"/>
      <c r="AL58" s="194"/>
      <c r="AM58" s="48"/>
      <c r="AN58" s="48"/>
      <c r="AO58" s="48"/>
      <c r="AP58" s="194"/>
      <c r="AQ58" s="194"/>
      <c r="AR58" s="194"/>
      <c r="AS58" s="194"/>
      <c r="AT58" s="194"/>
      <c r="AU58" s="194"/>
      <c r="AV58" s="194"/>
      <c r="AW58" s="194"/>
      <c r="AX58" s="194"/>
      <c r="AY58" s="194"/>
      <c r="AZ58" s="194"/>
      <c r="BA58" s="194"/>
      <c r="BB58" s="194"/>
      <c r="BC58" s="194"/>
      <c r="BD58" s="194"/>
      <c r="BE58" s="194"/>
      <c r="BF58" s="194"/>
      <c r="BG58" s="194"/>
      <c r="BH58" s="194"/>
      <c r="BI58" s="194"/>
      <c r="BJ58" s="194"/>
      <c r="BK58" s="194"/>
      <c r="BL58" s="194"/>
      <c r="BM58" s="194"/>
      <c r="BN58" s="194"/>
      <c r="BO58" s="194"/>
      <c r="BP58" s="194"/>
      <c r="BQ58" s="194"/>
      <c r="BR58" s="194"/>
      <c r="BS58" s="194"/>
      <c r="BT58" s="194"/>
      <c r="BU58" s="194"/>
      <c r="BV58" s="194"/>
      <c r="BW58" s="194"/>
      <c r="BX58" s="194"/>
      <c r="BY58" s="194"/>
      <c r="BZ58" s="194"/>
      <c r="CA58" s="194"/>
      <c r="CB58" s="194"/>
      <c r="CC58" s="194"/>
      <c r="CD58" s="194"/>
      <c r="CE58" s="194"/>
      <c r="CF58" s="194"/>
      <c r="CG58" s="194"/>
      <c r="CH58" s="194"/>
      <c r="CI58" s="194"/>
      <c r="CJ58" s="194"/>
      <c r="CK58" s="194"/>
      <c r="CL58" s="194"/>
      <c r="CM58" s="194"/>
      <c r="CN58" s="194"/>
      <c r="CO58" s="194"/>
      <c r="CP58" s="48"/>
      <c r="CQ58" s="194"/>
      <c r="CR58" s="194"/>
      <c r="CS58" s="194"/>
      <c r="CT58" s="194"/>
      <c r="CU58" s="194"/>
      <c r="CV58" s="194"/>
      <c r="CW58" s="194"/>
      <c r="CX58" s="194"/>
      <c r="CY58" s="194"/>
      <c r="CZ58" s="194"/>
      <c r="DA58" s="194"/>
      <c r="DB58" s="194"/>
      <c r="DC58" s="194"/>
      <c r="DD58" s="196"/>
      <c r="DE58" s="194"/>
      <c r="DF58" s="194"/>
      <c r="DG58" s="196"/>
      <c r="DH58" s="196"/>
      <c r="DI58" s="196"/>
      <c r="DJ58" s="194"/>
      <c r="DK58" s="194"/>
      <c r="DL58" s="194"/>
      <c r="DM58" s="194"/>
      <c r="DN58" s="194"/>
      <c r="DO58" s="194"/>
      <c r="DP58" s="194"/>
      <c r="DQ58" s="196"/>
      <c r="DR58" s="194"/>
      <c r="DS58" s="196"/>
      <c r="DT58" s="194"/>
      <c r="DU58" s="194"/>
      <c r="DV58" s="194"/>
      <c r="DW58" s="194"/>
      <c r="DX58" s="194"/>
      <c r="DY58" s="194"/>
      <c r="DZ58" s="194"/>
      <c r="EA58" s="194"/>
      <c r="EB58" s="194"/>
      <c r="EC58" s="194"/>
      <c r="ED58" s="194"/>
      <c r="EE58" s="194"/>
      <c r="EF58" s="194"/>
      <c r="EG58" s="194"/>
      <c r="EH58" s="194"/>
      <c r="EI58" s="194"/>
      <c r="EJ58" s="194"/>
      <c r="EK58" s="196"/>
      <c r="EL58" s="196"/>
      <c r="EM58" s="48"/>
      <c r="EN58" s="55"/>
      <c r="EO58" s="48"/>
      <c r="EP58" s="48"/>
      <c r="EQ58" s="196"/>
      <c r="ER58" s="194"/>
      <c r="ES58" s="48"/>
      <c r="ET58" s="194"/>
      <c r="EU58" s="194"/>
      <c r="EV58" s="194"/>
      <c r="EW58" s="211" t="s">
        <v>333</v>
      </c>
      <c r="EX58" s="211" t="s">
        <v>3948</v>
      </c>
      <c r="EY58" s="211" t="s">
        <v>4010</v>
      </c>
      <c r="EZ58" s="211" t="s">
        <v>4072</v>
      </c>
      <c r="FA58" s="211" t="s">
        <v>4134</v>
      </c>
      <c r="FB58" s="211" t="s">
        <v>4198</v>
      </c>
      <c r="FC58" s="211" t="s">
        <v>4259</v>
      </c>
      <c r="FD58" s="211" t="s">
        <v>4320</v>
      </c>
      <c r="FE58" s="211" t="s">
        <v>4381</v>
      </c>
      <c r="FF58" s="194"/>
      <c r="FG58" s="194"/>
      <c r="FH58" s="194"/>
      <c r="FI58" s="194"/>
      <c r="FJ58" s="55"/>
      <c r="FK58" s="194"/>
      <c r="FL58" s="197"/>
      <c r="FM58" s="194"/>
      <c r="FN58" s="198"/>
      <c r="FO58" s="194"/>
      <c r="FP58" s="198"/>
      <c r="FQ58" s="194"/>
      <c r="FR58" s="43"/>
      <c r="FS58" s="194"/>
      <c r="FT58" s="194"/>
      <c r="FU58" s="194"/>
      <c r="FV58" s="199"/>
      <c r="FW58" s="194"/>
      <c r="FX58" s="200"/>
    </row>
    <row r="59" spans="1:180" ht="15" customHeight="1" x14ac:dyDescent="0.2">
      <c r="A59" s="143" t="s">
        <v>289</v>
      </c>
      <c r="B59" s="189" t="s">
        <v>2862</v>
      </c>
      <c r="C59" s="189" t="s">
        <v>2946</v>
      </c>
      <c r="D59" s="211" t="s">
        <v>3147</v>
      </c>
      <c r="E59" s="53" t="s">
        <v>472</v>
      </c>
      <c r="F59" s="53" t="s">
        <v>472</v>
      </c>
      <c r="G59" s="53"/>
      <c r="H59" s="211" t="s">
        <v>3301</v>
      </c>
      <c r="I59" s="211" t="s">
        <v>3401</v>
      </c>
      <c r="J59" s="211" t="s">
        <v>833</v>
      </c>
      <c r="K59" s="190"/>
      <c r="L59" s="189">
        <v>4</v>
      </c>
      <c r="M59" s="211" t="s">
        <v>3512</v>
      </c>
      <c r="N59" s="211" t="s">
        <v>3612</v>
      </c>
      <c r="O59" s="189" t="s">
        <v>292</v>
      </c>
      <c r="P59" s="189" t="s">
        <v>293</v>
      </c>
      <c r="Q59" s="211">
        <v>27058</v>
      </c>
      <c r="R59" s="189" t="s">
        <v>294</v>
      </c>
      <c r="S59" s="189" t="s">
        <v>3046</v>
      </c>
      <c r="T59" s="189" t="s">
        <v>742</v>
      </c>
      <c r="U59" s="211">
        <v>9</v>
      </c>
      <c r="V59" s="211" t="s">
        <v>3656</v>
      </c>
      <c r="W59" s="211" t="s">
        <v>3704</v>
      </c>
      <c r="X59" s="53"/>
      <c r="Y59" s="211">
        <v>1</v>
      </c>
      <c r="Z59" s="189" t="s">
        <v>298</v>
      </c>
      <c r="AA59" s="189" t="s">
        <v>3143</v>
      </c>
      <c r="AB59" s="189" t="s">
        <v>3144</v>
      </c>
      <c r="AC59" s="211" t="s">
        <v>3805</v>
      </c>
      <c r="AD59" s="164" t="b">
        <v>1</v>
      </c>
      <c r="AE59" s="192"/>
      <c r="AF59" s="193"/>
      <c r="AG59" s="193"/>
      <c r="AH59" s="193"/>
      <c r="AI59" s="193"/>
      <c r="AJ59" s="193"/>
      <c r="AK59" s="193"/>
      <c r="AL59" s="194"/>
      <c r="AM59" s="48"/>
      <c r="AN59" s="48"/>
      <c r="AO59" s="48"/>
      <c r="AP59" s="194"/>
      <c r="AQ59" s="194"/>
      <c r="AR59" s="194"/>
      <c r="AS59" s="194"/>
      <c r="AT59" s="194"/>
      <c r="AU59" s="194"/>
      <c r="AV59" s="194"/>
      <c r="AW59" s="194"/>
      <c r="AX59" s="194"/>
      <c r="AY59" s="194"/>
      <c r="AZ59" s="194"/>
      <c r="BA59" s="194"/>
      <c r="BB59" s="194"/>
      <c r="BC59" s="194"/>
      <c r="BD59" s="194"/>
      <c r="BE59" s="194"/>
      <c r="BF59" s="194"/>
      <c r="BG59" s="194"/>
      <c r="BH59" s="194"/>
      <c r="BI59" s="194"/>
      <c r="BJ59" s="194"/>
      <c r="BK59" s="194"/>
      <c r="BL59" s="194"/>
      <c r="BM59" s="194"/>
      <c r="BN59" s="194"/>
      <c r="BO59" s="194"/>
      <c r="BP59" s="194"/>
      <c r="BQ59" s="194"/>
      <c r="BR59" s="194"/>
      <c r="BS59" s="194"/>
      <c r="BT59" s="194"/>
      <c r="BU59" s="194"/>
      <c r="BV59" s="194"/>
      <c r="BW59" s="194"/>
      <c r="BX59" s="194"/>
      <c r="BY59" s="194"/>
      <c r="BZ59" s="194"/>
      <c r="CA59" s="194"/>
      <c r="CB59" s="194"/>
      <c r="CC59" s="194"/>
      <c r="CD59" s="194"/>
      <c r="CE59" s="194"/>
      <c r="CF59" s="194"/>
      <c r="CG59" s="194"/>
      <c r="CH59" s="194"/>
      <c r="CI59" s="194"/>
      <c r="CJ59" s="194"/>
      <c r="CK59" s="194"/>
      <c r="CL59" s="194"/>
      <c r="CM59" s="194"/>
      <c r="CN59" s="194"/>
      <c r="CO59" s="194"/>
      <c r="CP59" s="48"/>
      <c r="CQ59" s="194"/>
      <c r="CR59" s="194"/>
      <c r="CS59" s="194"/>
      <c r="CT59" s="194"/>
      <c r="CU59" s="194"/>
      <c r="CV59" s="194"/>
      <c r="CW59" s="194"/>
      <c r="CX59" s="194"/>
      <c r="CY59" s="194"/>
      <c r="CZ59" s="194"/>
      <c r="DA59" s="194"/>
      <c r="DB59" s="194"/>
      <c r="DC59" s="194"/>
      <c r="DD59" s="196"/>
      <c r="DE59" s="194"/>
      <c r="DF59" s="194"/>
      <c r="DG59" s="196"/>
      <c r="DH59" s="196"/>
      <c r="DI59" s="196"/>
      <c r="DJ59" s="194"/>
      <c r="DK59" s="194"/>
      <c r="DL59" s="194"/>
      <c r="DM59" s="194"/>
      <c r="DN59" s="194"/>
      <c r="DO59" s="194"/>
      <c r="DP59" s="194"/>
      <c r="DQ59" s="196"/>
      <c r="DR59" s="194"/>
      <c r="DS59" s="196"/>
      <c r="DT59" s="194"/>
      <c r="DU59" s="194"/>
      <c r="DV59" s="194"/>
      <c r="DW59" s="194"/>
      <c r="DX59" s="194"/>
      <c r="DY59" s="194"/>
      <c r="DZ59" s="194"/>
      <c r="EA59" s="194"/>
      <c r="EB59" s="194"/>
      <c r="EC59" s="194"/>
      <c r="ED59" s="194"/>
      <c r="EE59" s="194"/>
      <c r="EF59" s="194"/>
      <c r="EG59" s="194"/>
      <c r="EH59" s="194"/>
      <c r="EI59" s="194"/>
      <c r="EJ59" s="194"/>
      <c r="EK59" s="196"/>
      <c r="EL59" s="196"/>
      <c r="EM59" s="48"/>
      <c r="EN59" s="55"/>
      <c r="EO59" s="48"/>
      <c r="EP59" s="48"/>
      <c r="EQ59" s="196"/>
      <c r="ER59" s="194"/>
      <c r="ES59" s="48"/>
      <c r="ET59" s="194"/>
      <c r="EU59" s="194"/>
      <c r="EV59" s="194"/>
      <c r="EW59" s="211" t="s">
        <v>3897</v>
      </c>
      <c r="EX59" s="211" t="s">
        <v>3968</v>
      </c>
      <c r="EY59" s="211" t="s">
        <v>4030</v>
      </c>
      <c r="EZ59" s="211" t="s">
        <v>4092</v>
      </c>
      <c r="FA59" s="211" t="s">
        <v>4154</v>
      </c>
      <c r="FB59" s="211" t="s">
        <v>4218</v>
      </c>
      <c r="FC59" s="211" t="s">
        <v>4279</v>
      </c>
      <c r="FD59" s="211" t="s">
        <v>4340</v>
      </c>
      <c r="FE59" s="211" t="s">
        <v>4401</v>
      </c>
      <c r="FF59" s="194"/>
      <c r="FG59" s="194"/>
      <c r="FH59" s="194"/>
      <c r="FI59" s="194"/>
      <c r="FJ59" s="55"/>
      <c r="FK59" s="194"/>
      <c r="FL59" s="197"/>
      <c r="FM59" s="194"/>
      <c r="FN59" s="198"/>
      <c r="FO59" s="194"/>
      <c r="FP59" s="198"/>
      <c r="FQ59" s="194"/>
      <c r="FR59" s="43"/>
      <c r="FS59" s="194"/>
      <c r="FT59" s="194"/>
      <c r="FU59" s="194"/>
      <c r="FV59" s="199"/>
      <c r="FW59" s="194"/>
      <c r="FX59" s="200"/>
    </row>
    <row r="60" spans="1:180" ht="15" customHeight="1" x14ac:dyDescent="0.2">
      <c r="A60" s="184" t="s">
        <v>289</v>
      </c>
      <c r="B60" s="189" t="s">
        <v>2863</v>
      </c>
      <c r="C60" s="189" t="s">
        <v>2947</v>
      </c>
      <c r="D60" s="211" t="s">
        <v>3204</v>
      </c>
      <c r="E60" s="53" t="s">
        <v>24</v>
      </c>
      <c r="F60" s="212" t="s">
        <v>24</v>
      </c>
      <c r="G60" s="53"/>
      <c r="H60" s="211" t="s">
        <v>3302</v>
      </c>
      <c r="I60" s="211" t="s">
        <v>3402</v>
      </c>
      <c r="J60" s="211" t="s">
        <v>472</v>
      </c>
      <c r="K60" s="190"/>
      <c r="L60" s="189">
        <v>5</v>
      </c>
      <c r="M60" s="211" t="s">
        <v>3513</v>
      </c>
      <c r="N60" s="211" t="s">
        <v>3613</v>
      </c>
      <c r="O60" s="189" t="s">
        <v>292</v>
      </c>
      <c r="P60" s="189" t="s">
        <v>293</v>
      </c>
      <c r="Q60" s="211">
        <v>27059</v>
      </c>
      <c r="R60" s="189" t="s">
        <v>294</v>
      </c>
      <c r="S60" s="189" t="s">
        <v>3047</v>
      </c>
      <c r="T60" s="189" t="s">
        <v>591</v>
      </c>
      <c r="U60" s="211">
        <v>7</v>
      </c>
      <c r="V60" s="211" t="s">
        <v>3656</v>
      </c>
      <c r="W60" s="211" t="s">
        <v>3705</v>
      </c>
      <c r="X60" s="53"/>
      <c r="Y60" s="211">
        <v>1</v>
      </c>
      <c r="Z60" s="189" t="s">
        <v>556</v>
      </c>
      <c r="AA60" s="189" t="s">
        <v>299</v>
      </c>
      <c r="AB60" s="189" t="s">
        <v>3144</v>
      </c>
      <c r="AC60" s="211" t="s">
        <v>3806</v>
      </c>
      <c r="AD60" s="164" t="b">
        <v>1</v>
      </c>
      <c r="AE60" s="192"/>
      <c r="AF60" s="193"/>
      <c r="AG60" s="193"/>
      <c r="AH60" s="193"/>
      <c r="AI60" s="193"/>
      <c r="AJ60" s="193"/>
      <c r="AK60" s="193"/>
      <c r="AL60" s="194"/>
      <c r="AM60" s="48"/>
      <c r="AN60" s="48"/>
      <c r="AO60" s="48"/>
      <c r="AP60" s="194"/>
      <c r="AQ60" s="194"/>
      <c r="AR60" s="194"/>
      <c r="AS60" s="194"/>
      <c r="AT60" s="194"/>
      <c r="AU60" s="194"/>
      <c r="AV60" s="194"/>
      <c r="AW60" s="194"/>
      <c r="AX60" s="194"/>
      <c r="AY60" s="194"/>
      <c r="AZ60" s="194"/>
      <c r="BA60" s="194"/>
      <c r="BB60" s="194"/>
      <c r="BC60" s="194"/>
      <c r="BD60" s="194"/>
      <c r="BE60" s="194"/>
      <c r="BF60" s="194"/>
      <c r="BG60" s="194"/>
      <c r="BH60" s="194"/>
      <c r="BI60" s="194"/>
      <c r="BJ60" s="194"/>
      <c r="BK60" s="194"/>
      <c r="BL60" s="194"/>
      <c r="BM60" s="194"/>
      <c r="BN60" s="194"/>
      <c r="BO60" s="194"/>
      <c r="BP60" s="194"/>
      <c r="BQ60" s="194"/>
      <c r="BR60" s="194"/>
      <c r="BS60" s="194"/>
      <c r="BT60" s="194"/>
      <c r="BU60" s="194"/>
      <c r="BV60" s="194"/>
      <c r="BW60" s="194"/>
      <c r="BX60" s="194"/>
      <c r="BY60" s="194"/>
      <c r="BZ60" s="194"/>
      <c r="CA60" s="194"/>
      <c r="CB60" s="194"/>
      <c r="CC60" s="194"/>
      <c r="CD60" s="194"/>
      <c r="CE60" s="194"/>
      <c r="CF60" s="194"/>
      <c r="CG60" s="194"/>
      <c r="CH60" s="194"/>
      <c r="CI60" s="194"/>
      <c r="CJ60" s="194"/>
      <c r="CK60" s="194"/>
      <c r="CL60" s="194"/>
      <c r="CM60" s="194"/>
      <c r="CN60" s="194"/>
      <c r="CO60" s="194"/>
      <c r="CP60" s="48"/>
      <c r="CQ60" s="194"/>
      <c r="CR60" s="194"/>
      <c r="CS60" s="194"/>
      <c r="CT60" s="194"/>
      <c r="CU60" s="194"/>
      <c r="CV60" s="194"/>
      <c r="CW60" s="194"/>
      <c r="CX60" s="194"/>
      <c r="CY60" s="194"/>
      <c r="CZ60" s="194"/>
      <c r="DA60" s="194"/>
      <c r="DB60" s="194"/>
      <c r="DC60" s="194"/>
      <c r="DD60" s="196"/>
      <c r="DE60" s="194"/>
      <c r="DF60" s="194"/>
      <c r="DG60" s="196"/>
      <c r="DH60" s="196"/>
      <c r="DI60" s="196"/>
      <c r="DJ60" s="194"/>
      <c r="DK60" s="194"/>
      <c r="DL60" s="194"/>
      <c r="DM60" s="194"/>
      <c r="DN60" s="194"/>
      <c r="DO60" s="194"/>
      <c r="DP60" s="194"/>
      <c r="DQ60" s="196"/>
      <c r="DR60" s="194"/>
      <c r="DS60" s="196"/>
      <c r="DT60" s="194"/>
      <c r="DU60" s="194"/>
      <c r="DV60" s="194"/>
      <c r="DW60" s="194"/>
      <c r="DX60" s="194"/>
      <c r="DY60" s="194"/>
      <c r="DZ60" s="194"/>
      <c r="EA60" s="194"/>
      <c r="EB60" s="194"/>
      <c r="EC60" s="194"/>
      <c r="ED60" s="194"/>
      <c r="EE60" s="194"/>
      <c r="EF60" s="194"/>
      <c r="EG60" s="194"/>
      <c r="EH60" s="194"/>
      <c r="EI60" s="194"/>
      <c r="EJ60" s="194"/>
      <c r="EK60" s="196"/>
      <c r="EL60" s="196"/>
      <c r="EM60" s="48"/>
      <c r="EN60" s="55"/>
      <c r="EO60" s="48"/>
      <c r="EP60" s="48"/>
      <c r="EQ60" s="196"/>
      <c r="ER60" s="194"/>
      <c r="ES60" s="48"/>
      <c r="ET60" s="194"/>
      <c r="EU60" s="194"/>
      <c r="EV60" s="194"/>
      <c r="EW60" s="211" t="s">
        <v>3898</v>
      </c>
      <c r="EX60" s="211" t="s">
        <v>3926</v>
      </c>
      <c r="EY60" s="211" t="s">
        <v>3988</v>
      </c>
      <c r="EZ60" s="211" t="s">
        <v>4050</v>
      </c>
      <c r="FA60" s="211" t="s">
        <v>4112</v>
      </c>
      <c r="FB60" s="211" t="s">
        <v>4176</v>
      </c>
      <c r="FC60" s="211" t="s">
        <v>4237</v>
      </c>
      <c r="FD60" s="211" t="s">
        <v>4298</v>
      </c>
      <c r="FE60" s="211" t="s">
        <v>4359</v>
      </c>
      <c r="FF60" s="194"/>
      <c r="FG60" s="194"/>
      <c r="FH60" s="194"/>
      <c r="FI60" s="194"/>
      <c r="FJ60" s="55"/>
      <c r="FK60" s="194"/>
      <c r="FL60" s="197"/>
      <c r="FM60" s="194"/>
      <c r="FN60" s="198"/>
      <c r="FO60" s="194"/>
      <c r="FP60" s="198"/>
      <c r="FQ60" s="194"/>
      <c r="FR60" s="43"/>
      <c r="FS60" s="194"/>
      <c r="FT60" s="194"/>
      <c r="FU60" s="194"/>
      <c r="FV60" s="199"/>
      <c r="FW60" s="194"/>
      <c r="FX60" s="200"/>
    </row>
    <row r="61" spans="1:180" ht="15" customHeight="1" x14ac:dyDescent="0.2">
      <c r="A61" s="143" t="s">
        <v>289</v>
      </c>
      <c r="B61" s="189" t="s">
        <v>2864</v>
      </c>
      <c r="C61" s="189" t="s">
        <v>2948</v>
      </c>
      <c r="D61" s="211" t="s">
        <v>3205</v>
      </c>
      <c r="E61" s="53" t="s">
        <v>24</v>
      </c>
      <c r="F61" s="213" t="s">
        <v>24</v>
      </c>
      <c r="G61" s="53"/>
      <c r="H61" s="211" t="s">
        <v>3303</v>
      </c>
      <c r="I61" s="211" t="s">
        <v>3403</v>
      </c>
      <c r="J61" s="211" t="s">
        <v>870</v>
      </c>
      <c r="K61" s="190"/>
      <c r="L61" s="189">
        <v>4</v>
      </c>
      <c r="M61" s="211" t="s">
        <v>3514</v>
      </c>
      <c r="N61" s="211" t="s">
        <v>3614</v>
      </c>
      <c r="O61" s="189" t="s">
        <v>292</v>
      </c>
      <c r="P61" s="189" t="s">
        <v>293</v>
      </c>
      <c r="Q61" s="211">
        <v>27060</v>
      </c>
      <c r="R61" s="189" t="s">
        <v>294</v>
      </c>
      <c r="S61" s="189" t="s">
        <v>3048</v>
      </c>
      <c r="T61" s="189" t="s">
        <v>3107</v>
      </c>
      <c r="U61" s="211">
        <v>6</v>
      </c>
      <c r="V61" s="211" t="s">
        <v>3656</v>
      </c>
      <c r="W61" s="211" t="s">
        <v>3706</v>
      </c>
      <c r="X61" s="53"/>
      <c r="Y61" s="211">
        <v>1</v>
      </c>
      <c r="Z61" s="53" t="s">
        <v>298</v>
      </c>
      <c r="AA61" s="189" t="s">
        <v>3143</v>
      </c>
      <c r="AB61" s="189" t="s">
        <v>3144</v>
      </c>
      <c r="AC61" s="211" t="s">
        <v>3807</v>
      </c>
      <c r="AD61" s="164" t="b">
        <v>0</v>
      </c>
      <c r="AE61" s="192"/>
      <c r="AF61" s="193"/>
      <c r="AG61" s="193"/>
      <c r="AH61" s="193"/>
      <c r="AI61" s="193"/>
      <c r="AJ61" s="193"/>
      <c r="AK61" s="193"/>
      <c r="AL61" s="194"/>
      <c r="AM61" s="48"/>
      <c r="AN61" s="48"/>
      <c r="AO61" s="48"/>
      <c r="AP61" s="194"/>
      <c r="AQ61" s="194"/>
      <c r="AR61" s="194"/>
      <c r="AS61" s="194"/>
      <c r="AT61" s="194"/>
      <c r="AU61" s="194"/>
      <c r="AV61" s="194"/>
      <c r="AW61" s="194"/>
      <c r="AX61" s="194"/>
      <c r="AY61" s="194"/>
      <c r="AZ61" s="194"/>
      <c r="BA61" s="194"/>
      <c r="BB61" s="194"/>
      <c r="BC61" s="194"/>
      <c r="BD61" s="194"/>
      <c r="BE61" s="194"/>
      <c r="BF61" s="194"/>
      <c r="BG61" s="194"/>
      <c r="BH61" s="194"/>
      <c r="BI61" s="194"/>
      <c r="BJ61" s="194"/>
      <c r="BK61" s="194"/>
      <c r="BL61" s="194"/>
      <c r="BM61" s="194"/>
      <c r="BN61" s="194"/>
      <c r="BO61" s="194"/>
      <c r="BP61" s="194"/>
      <c r="BQ61" s="194"/>
      <c r="BR61" s="194"/>
      <c r="BS61" s="194"/>
      <c r="BT61" s="194"/>
      <c r="BU61" s="194"/>
      <c r="BV61" s="194"/>
      <c r="BW61" s="194"/>
      <c r="BX61" s="194"/>
      <c r="BY61" s="194"/>
      <c r="BZ61" s="194"/>
      <c r="CA61" s="194"/>
      <c r="CB61" s="194"/>
      <c r="CC61" s="194"/>
      <c r="CD61" s="194"/>
      <c r="CE61" s="194"/>
      <c r="CF61" s="194"/>
      <c r="CG61" s="194"/>
      <c r="CH61" s="194"/>
      <c r="CI61" s="194"/>
      <c r="CJ61" s="194"/>
      <c r="CK61" s="194"/>
      <c r="CL61" s="194"/>
      <c r="CM61" s="194"/>
      <c r="CN61" s="194"/>
      <c r="CO61" s="194"/>
      <c r="CP61" s="48"/>
      <c r="CQ61" s="194"/>
      <c r="CR61" s="194"/>
      <c r="CS61" s="194"/>
      <c r="CT61" s="194"/>
      <c r="CU61" s="194"/>
      <c r="CV61" s="194"/>
      <c r="CW61" s="194"/>
      <c r="CX61" s="194"/>
      <c r="CY61" s="194"/>
      <c r="CZ61" s="194"/>
      <c r="DA61" s="194"/>
      <c r="DB61" s="194"/>
      <c r="DC61" s="194"/>
      <c r="DD61" s="196"/>
      <c r="DE61" s="194"/>
      <c r="DF61" s="194"/>
      <c r="DG61" s="196"/>
      <c r="DH61" s="196"/>
      <c r="DI61" s="196"/>
      <c r="DJ61" s="194"/>
      <c r="DK61" s="194"/>
      <c r="DL61" s="194"/>
      <c r="DM61" s="194"/>
      <c r="DN61" s="194"/>
      <c r="DO61" s="194"/>
      <c r="DP61" s="194"/>
      <c r="DQ61" s="196"/>
      <c r="DR61" s="194"/>
      <c r="DS61" s="196"/>
      <c r="DT61" s="194"/>
      <c r="DU61" s="194"/>
      <c r="DV61" s="194"/>
      <c r="DW61" s="194"/>
      <c r="DX61" s="194"/>
      <c r="DY61" s="194"/>
      <c r="DZ61" s="194"/>
      <c r="EA61" s="194"/>
      <c r="EB61" s="194"/>
      <c r="EC61" s="194"/>
      <c r="ED61" s="194"/>
      <c r="EE61" s="194"/>
      <c r="EF61" s="194"/>
      <c r="EG61" s="194"/>
      <c r="EH61" s="194"/>
      <c r="EI61" s="194"/>
      <c r="EJ61" s="194"/>
      <c r="EK61" s="196"/>
      <c r="EL61" s="196"/>
      <c r="EM61" s="48"/>
      <c r="EN61" s="55"/>
      <c r="EO61" s="48"/>
      <c r="EP61" s="48"/>
      <c r="EQ61" s="196"/>
      <c r="ER61" s="194"/>
      <c r="ES61" s="48"/>
      <c r="ET61" s="194"/>
      <c r="EU61" s="194"/>
      <c r="EV61" s="194"/>
      <c r="EW61" s="211" t="s">
        <v>3899</v>
      </c>
      <c r="EX61" s="211" t="s">
        <v>3969</v>
      </c>
      <c r="EY61" s="211" t="s">
        <v>4031</v>
      </c>
      <c r="EZ61" s="211" t="s">
        <v>4093</v>
      </c>
      <c r="FA61" s="211" t="s">
        <v>4155</v>
      </c>
      <c r="FB61" s="211" t="s">
        <v>4219</v>
      </c>
      <c r="FC61" s="211" t="s">
        <v>4280</v>
      </c>
      <c r="FD61" s="211" t="s">
        <v>4341</v>
      </c>
      <c r="FE61" s="211" t="s">
        <v>4402</v>
      </c>
      <c r="FF61" s="194"/>
      <c r="FG61" s="194"/>
      <c r="FH61" s="194"/>
      <c r="FI61" s="194"/>
      <c r="FJ61" s="55"/>
      <c r="FK61" s="194"/>
      <c r="FL61" s="197"/>
      <c r="FM61" s="194"/>
      <c r="FN61" s="198"/>
      <c r="FO61" s="194"/>
      <c r="FP61" s="198"/>
      <c r="FQ61" s="194"/>
      <c r="FR61" s="43"/>
      <c r="FS61" s="194"/>
      <c r="FT61" s="194"/>
      <c r="FU61" s="194"/>
      <c r="FV61" s="199"/>
      <c r="FW61" s="194"/>
      <c r="FX61" s="200"/>
    </row>
    <row r="62" spans="1:180" ht="15" customHeight="1" x14ac:dyDescent="0.2">
      <c r="A62" s="96" t="s">
        <v>289</v>
      </c>
      <c r="B62" s="189" t="s">
        <v>2865</v>
      </c>
      <c r="C62" s="189" t="s">
        <v>2949</v>
      </c>
      <c r="D62" s="211" t="s">
        <v>3206</v>
      </c>
      <c r="E62" s="53" t="s">
        <v>698</v>
      </c>
      <c r="F62" s="212" t="s">
        <v>24</v>
      </c>
      <c r="G62" s="53"/>
      <c r="H62" s="211" t="s">
        <v>3304</v>
      </c>
      <c r="I62" s="211" t="s">
        <v>3404</v>
      </c>
      <c r="J62" s="211" t="s">
        <v>24</v>
      </c>
      <c r="K62" s="190"/>
      <c r="L62" s="189">
        <v>4</v>
      </c>
      <c r="M62" s="211" t="s">
        <v>3515</v>
      </c>
      <c r="N62" s="211" t="s">
        <v>3615</v>
      </c>
      <c r="O62" s="189" t="s">
        <v>292</v>
      </c>
      <c r="P62" s="189" t="s">
        <v>293</v>
      </c>
      <c r="Q62" s="211">
        <v>27061</v>
      </c>
      <c r="R62" s="189" t="s">
        <v>294</v>
      </c>
      <c r="S62" s="189" t="s">
        <v>3049</v>
      </c>
      <c r="T62" s="189" t="s">
        <v>3096</v>
      </c>
      <c r="U62" s="211">
        <v>13</v>
      </c>
      <c r="V62" s="211" t="s">
        <v>296</v>
      </c>
      <c r="W62" s="211" t="s">
        <v>3707</v>
      </c>
      <c r="X62" s="53"/>
      <c r="Y62" s="211">
        <v>1</v>
      </c>
      <c r="Z62" s="53" t="s">
        <v>298</v>
      </c>
      <c r="AA62" s="189" t="s">
        <v>3142</v>
      </c>
      <c r="AB62" s="189" t="s">
        <v>3146</v>
      </c>
      <c r="AC62" s="211" t="s">
        <v>3808</v>
      </c>
      <c r="AD62" s="164" t="b">
        <v>1</v>
      </c>
      <c r="AE62" s="192"/>
      <c r="AF62" s="193"/>
      <c r="AG62" s="193"/>
      <c r="AH62" s="193"/>
      <c r="AI62" s="193"/>
      <c r="AJ62" s="193"/>
      <c r="AK62" s="193"/>
      <c r="AL62" s="194"/>
      <c r="AM62" s="48"/>
      <c r="AN62" s="48"/>
      <c r="AO62" s="48"/>
      <c r="AP62" s="194"/>
      <c r="AQ62" s="194"/>
      <c r="AR62" s="194"/>
      <c r="AS62" s="194"/>
      <c r="AT62" s="194"/>
      <c r="AU62" s="194"/>
      <c r="AV62" s="194"/>
      <c r="AW62" s="194"/>
      <c r="AX62" s="194"/>
      <c r="AY62" s="194"/>
      <c r="AZ62" s="194"/>
      <c r="BA62" s="194"/>
      <c r="BB62" s="194"/>
      <c r="BC62" s="194"/>
      <c r="BD62" s="194"/>
      <c r="BE62" s="194"/>
      <c r="BF62" s="194"/>
      <c r="BG62" s="194"/>
      <c r="BH62" s="194"/>
      <c r="BI62" s="194"/>
      <c r="BJ62" s="194"/>
      <c r="BK62" s="194"/>
      <c r="BL62" s="194"/>
      <c r="BM62" s="194"/>
      <c r="BN62" s="194"/>
      <c r="BO62" s="194"/>
      <c r="BP62" s="194"/>
      <c r="BQ62" s="194"/>
      <c r="BR62" s="194"/>
      <c r="BS62" s="194"/>
      <c r="BT62" s="194"/>
      <c r="BU62" s="194"/>
      <c r="BV62" s="194"/>
      <c r="BW62" s="194"/>
      <c r="BX62" s="194"/>
      <c r="BY62" s="194"/>
      <c r="BZ62" s="194"/>
      <c r="CA62" s="194"/>
      <c r="CB62" s="194"/>
      <c r="CC62" s="194"/>
      <c r="CD62" s="194"/>
      <c r="CE62" s="194"/>
      <c r="CF62" s="194"/>
      <c r="CG62" s="194"/>
      <c r="CH62" s="194"/>
      <c r="CI62" s="194"/>
      <c r="CJ62" s="194"/>
      <c r="CK62" s="194"/>
      <c r="CL62" s="194"/>
      <c r="CM62" s="194"/>
      <c r="CN62" s="194"/>
      <c r="CO62" s="194"/>
      <c r="CP62" s="48"/>
      <c r="CQ62" s="194"/>
      <c r="CR62" s="194"/>
      <c r="CS62" s="194"/>
      <c r="CT62" s="194"/>
      <c r="CU62" s="194"/>
      <c r="CV62" s="194"/>
      <c r="CW62" s="194"/>
      <c r="CX62" s="194"/>
      <c r="CY62" s="194"/>
      <c r="CZ62" s="194"/>
      <c r="DA62" s="194"/>
      <c r="DB62" s="194"/>
      <c r="DC62" s="194"/>
      <c r="DD62" s="196"/>
      <c r="DE62" s="194"/>
      <c r="DF62" s="194"/>
      <c r="DG62" s="196"/>
      <c r="DH62" s="196"/>
      <c r="DI62" s="196"/>
      <c r="DJ62" s="194"/>
      <c r="DK62" s="194"/>
      <c r="DL62" s="194"/>
      <c r="DM62" s="194"/>
      <c r="DN62" s="194"/>
      <c r="DO62" s="194"/>
      <c r="DP62" s="194"/>
      <c r="DQ62" s="196"/>
      <c r="DR62" s="194"/>
      <c r="DS62" s="196"/>
      <c r="DT62" s="194"/>
      <c r="DU62" s="194"/>
      <c r="DV62" s="194"/>
      <c r="DW62" s="194"/>
      <c r="DX62" s="194"/>
      <c r="DY62" s="194"/>
      <c r="DZ62" s="194"/>
      <c r="EA62" s="194"/>
      <c r="EB62" s="194"/>
      <c r="EC62" s="194"/>
      <c r="ED62" s="194"/>
      <c r="EE62" s="194"/>
      <c r="EF62" s="194"/>
      <c r="EG62" s="194"/>
      <c r="EH62" s="194"/>
      <c r="EI62" s="194"/>
      <c r="EJ62" s="194"/>
      <c r="EK62" s="196"/>
      <c r="EL62" s="196"/>
      <c r="EM62" s="48"/>
      <c r="EN62" s="55"/>
      <c r="EO62" s="48"/>
      <c r="EP62" s="48"/>
      <c r="EQ62" s="196"/>
      <c r="ER62" s="194"/>
      <c r="ES62" s="48"/>
      <c r="ET62" s="194"/>
      <c r="EU62" s="194"/>
      <c r="EV62" s="194"/>
      <c r="EW62" s="211" t="s">
        <v>3889</v>
      </c>
      <c r="EX62" s="211" t="s">
        <v>3970</v>
      </c>
      <c r="EY62" s="211" t="s">
        <v>4032</v>
      </c>
      <c r="EZ62" s="211" t="s">
        <v>4094</v>
      </c>
      <c r="FA62" s="211" t="s">
        <v>4156</v>
      </c>
      <c r="FB62" s="211" t="s">
        <v>4220</v>
      </c>
      <c r="FC62" s="211" t="s">
        <v>4281</v>
      </c>
      <c r="FD62" s="211" t="s">
        <v>4342</v>
      </c>
      <c r="FE62" s="211" t="s">
        <v>4403</v>
      </c>
      <c r="FF62" s="194"/>
      <c r="FG62" s="194"/>
      <c r="FH62" s="194"/>
      <c r="FI62" s="194"/>
      <c r="FJ62" s="55"/>
      <c r="FK62" s="194"/>
      <c r="FL62" s="197"/>
      <c r="FM62" s="194"/>
      <c r="FN62" s="198"/>
      <c r="FO62" s="194"/>
      <c r="FP62" s="198"/>
      <c r="FQ62" s="194"/>
      <c r="FR62" s="43"/>
      <c r="FS62" s="194"/>
      <c r="FT62" s="194"/>
      <c r="FU62" s="194"/>
      <c r="FV62" s="199"/>
      <c r="FW62" s="194"/>
      <c r="FX62" s="200"/>
    </row>
    <row r="63" spans="1:180" ht="15" customHeight="1" x14ac:dyDescent="0.2">
      <c r="A63" s="68" t="s">
        <v>289</v>
      </c>
      <c r="B63" s="189" t="s">
        <v>2866</v>
      </c>
      <c r="C63" s="189" t="s">
        <v>2950</v>
      </c>
      <c r="D63" s="211" t="s">
        <v>3207</v>
      </c>
      <c r="E63" s="70" t="s">
        <v>24</v>
      </c>
      <c r="F63" s="213" t="s">
        <v>407</v>
      </c>
      <c r="G63" s="53"/>
      <c r="H63" s="211" t="s">
        <v>3305</v>
      </c>
      <c r="I63" s="211" t="s">
        <v>3405</v>
      </c>
      <c r="J63" s="211" t="s">
        <v>3443</v>
      </c>
      <c r="K63" s="190"/>
      <c r="L63" s="189">
        <v>3</v>
      </c>
      <c r="M63" s="211" t="s">
        <v>3516</v>
      </c>
      <c r="N63" s="211" t="s">
        <v>3616</v>
      </c>
      <c r="O63" s="189" t="s">
        <v>292</v>
      </c>
      <c r="P63" s="189" t="s">
        <v>293</v>
      </c>
      <c r="Q63" s="211">
        <v>27062</v>
      </c>
      <c r="R63" s="189" t="s">
        <v>294</v>
      </c>
      <c r="S63" s="189" t="s">
        <v>3050</v>
      </c>
      <c r="T63" s="189" t="s">
        <v>3121</v>
      </c>
      <c r="U63" s="211">
        <v>10</v>
      </c>
      <c r="V63" s="211" t="s">
        <v>296</v>
      </c>
      <c r="W63" s="211" t="s">
        <v>3708</v>
      </c>
      <c r="X63" s="53"/>
      <c r="Y63" s="211">
        <v>1</v>
      </c>
      <c r="Z63" s="53" t="s">
        <v>298</v>
      </c>
      <c r="AA63" s="189" t="s">
        <v>3142</v>
      </c>
      <c r="AB63" s="189" t="s">
        <v>3144</v>
      </c>
      <c r="AC63" s="211" t="s">
        <v>3809</v>
      </c>
      <c r="AD63" s="164" t="b">
        <v>0</v>
      </c>
      <c r="AE63" s="192"/>
      <c r="AF63" s="193"/>
      <c r="AG63" s="193"/>
      <c r="AH63" s="193"/>
      <c r="AI63" s="193"/>
      <c r="AJ63" s="193"/>
      <c r="AK63" s="193"/>
      <c r="AL63" s="194"/>
      <c r="AM63" s="48"/>
      <c r="AN63" s="48"/>
      <c r="AO63" s="48"/>
      <c r="AP63" s="194"/>
      <c r="AQ63" s="194"/>
      <c r="AR63" s="194"/>
      <c r="AS63" s="194"/>
      <c r="AT63" s="194"/>
      <c r="AU63" s="194"/>
      <c r="AV63" s="194"/>
      <c r="AW63" s="194"/>
      <c r="AX63" s="194"/>
      <c r="AY63" s="194"/>
      <c r="AZ63" s="194"/>
      <c r="BA63" s="194"/>
      <c r="BB63" s="194"/>
      <c r="BC63" s="194"/>
      <c r="BD63" s="194"/>
      <c r="BE63" s="194"/>
      <c r="BF63" s="194"/>
      <c r="BG63" s="194"/>
      <c r="BH63" s="194"/>
      <c r="BI63" s="194"/>
      <c r="BJ63" s="194"/>
      <c r="BK63" s="194"/>
      <c r="BL63" s="194"/>
      <c r="BM63" s="194"/>
      <c r="BN63" s="194"/>
      <c r="BO63" s="194"/>
      <c r="BP63" s="194"/>
      <c r="BQ63" s="194"/>
      <c r="BR63" s="194"/>
      <c r="BS63" s="194"/>
      <c r="BT63" s="194"/>
      <c r="BU63" s="194"/>
      <c r="BV63" s="194"/>
      <c r="BW63" s="194"/>
      <c r="BX63" s="194"/>
      <c r="BY63" s="194"/>
      <c r="BZ63" s="194"/>
      <c r="CA63" s="194"/>
      <c r="CB63" s="194"/>
      <c r="CC63" s="194"/>
      <c r="CD63" s="194"/>
      <c r="CE63" s="194"/>
      <c r="CF63" s="194"/>
      <c r="CG63" s="194"/>
      <c r="CH63" s="194"/>
      <c r="CI63" s="194"/>
      <c r="CJ63" s="194"/>
      <c r="CK63" s="194"/>
      <c r="CL63" s="194"/>
      <c r="CM63" s="194"/>
      <c r="CN63" s="194"/>
      <c r="CO63" s="194"/>
      <c r="CP63" s="48"/>
      <c r="CQ63" s="194"/>
      <c r="CR63" s="194"/>
      <c r="CS63" s="194"/>
      <c r="CT63" s="194"/>
      <c r="CU63" s="194"/>
      <c r="CV63" s="194"/>
      <c r="CW63" s="194"/>
      <c r="CX63" s="194"/>
      <c r="CY63" s="194"/>
      <c r="CZ63" s="194"/>
      <c r="DA63" s="194"/>
      <c r="DB63" s="194"/>
      <c r="DC63" s="194"/>
      <c r="DD63" s="196"/>
      <c r="DE63" s="194"/>
      <c r="DF63" s="194"/>
      <c r="DG63" s="196"/>
      <c r="DH63" s="196"/>
      <c r="DI63" s="196"/>
      <c r="DJ63" s="194"/>
      <c r="DK63" s="194"/>
      <c r="DL63" s="194"/>
      <c r="DM63" s="194"/>
      <c r="DN63" s="194"/>
      <c r="DO63" s="194"/>
      <c r="DP63" s="194"/>
      <c r="DQ63" s="196"/>
      <c r="DR63" s="194"/>
      <c r="DS63" s="196"/>
      <c r="DT63" s="194"/>
      <c r="DU63" s="194"/>
      <c r="DV63" s="194"/>
      <c r="DW63" s="194"/>
      <c r="DX63" s="194"/>
      <c r="DY63" s="194"/>
      <c r="DZ63" s="194"/>
      <c r="EA63" s="194"/>
      <c r="EB63" s="194"/>
      <c r="EC63" s="194"/>
      <c r="ED63" s="194"/>
      <c r="EE63" s="194"/>
      <c r="EF63" s="194"/>
      <c r="EG63" s="194"/>
      <c r="EH63" s="194"/>
      <c r="EI63" s="194"/>
      <c r="EJ63" s="194"/>
      <c r="EK63" s="196"/>
      <c r="EL63" s="196"/>
      <c r="EM63" s="48"/>
      <c r="EN63" s="55"/>
      <c r="EO63" s="48"/>
      <c r="EP63" s="48"/>
      <c r="EQ63" s="196"/>
      <c r="ER63" s="194"/>
      <c r="ES63" s="48"/>
      <c r="ET63" s="194"/>
      <c r="EU63" s="194"/>
      <c r="EV63" s="194"/>
      <c r="EW63" s="211" t="s">
        <v>3872</v>
      </c>
      <c r="EX63" s="211" t="s">
        <v>3959</v>
      </c>
      <c r="EY63" s="211" t="s">
        <v>4021</v>
      </c>
      <c r="EZ63" s="211" t="s">
        <v>4083</v>
      </c>
      <c r="FA63" s="211" t="s">
        <v>4145</v>
      </c>
      <c r="FB63" s="211" t="s">
        <v>4209</v>
      </c>
      <c r="FC63" s="211" t="s">
        <v>4270</v>
      </c>
      <c r="FD63" s="211" t="s">
        <v>4331</v>
      </c>
      <c r="FE63" s="211" t="s">
        <v>4392</v>
      </c>
      <c r="FF63" s="194"/>
      <c r="FG63" s="194"/>
      <c r="FH63" s="194"/>
      <c r="FI63" s="194"/>
      <c r="FJ63" s="55"/>
      <c r="FK63" s="194"/>
      <c r="FL63" s="197"/>
      <c r="FM63" s="194"/>
      <c r="FN63" s="198"/>
      <c r="FO63" s="194"/>
      <c r="FP63" s="198"/>
      <c r="FQ63" s="194"/>
      <c r="FR63" s="43"/>
      <c r="FS63" s="194"/>
      <c r="FT63" s="194"/>
      <c r="FU63" s="194"/>
      <c r="FV63" s="199"/>
      <c r="FW63" s="194"/>
      <c r="FX63" s="200"/>
    </row>
    <row r="64" spans="1:180" ht="15" customHeight="1" x14ac:dyDescent="0.2">
      <c r="A64" s="143" t="s">
        <v>289</v>
      </c>
      <c r="B64" s="189" t="s">
        <v>2867</v>
      </c>
      <c r="C64" s="189" t="s">
        <v>2951</v>
      </c>
      <c r="D64" s="211" t="s">
        <v>3208</v>
      </c>
      <c r="E64" s="53" t="s">
        <v>472</v>
      </c>
      <c r="F64" s="212" t="s">
        <v>24</v>
      </c>
      <c r="G64" s="53"/>
      <c r="H64" s="211" t="s">
        <v>3306</v>
      </c>
      <c r="I64" s="211" t="s">
        <v>3406</v>
      </c>
      <c r="J64" s="211" t="s">
        <v>472</v>
      </c>
      <c r="K64" s="190"/>
      <c r="L64" s="189">
        <v>6</v>
      </c>
      <c r="M64" s="211" t="s">
        <v>3517</v>
      </c>
      <c r="N64" s="211" t="s">
        <v>3617</v>
      </c>
      <c r="O64" s="189" t="s">
        <v>292</v>
      </c>
      <c r="P64" s="189" t="s">
        <v>293</v>
      </c>
      <c r="Q64" s="211">
        <v>27063</v>
      </c>
      <c r="R64" s="189" t="s">
        <v>294</v>
      </c>
      <c r="S64" s="189" t="s">
        <v>3051</v>
      </c>
      <c r="T64" s="189" t="s">
        <v>3124</v>
      </c>
      <c r="U64" s="211">
        <v>15</v>
      </c>
      <c r="V64" s="211" t="s">
        <v>296</v>
      </c>
      <c r="W64" s="211" t="s">
        <v>3709</v>
      </c>
      <c r="X64" s="53"/>
      <c r="Y64" s="211">
        <v>1</v>
      </c>
      <c r="Z64" s="53" t="s">
        <v>298</v>
      </c>
      <c r="AA64" s="189" t="s">
        <v>3142</v>
      </c>
      <c r="AB64" s="189" t="s">
        <v>3145</v>
      </c>
      <c r="AC64" s="211" t="s">
        <v>3810</v>
      </c>
      <c r="AD64" s="164" t="b">
        <v>0</v>
      </c>
      <c r="AE64" s="192"/>
      <c r="AF64" s="193"/>
      <c r="AG64" s="193"/>
      <c r="AH64" s="193"/>
      <c r="AI64" s="193"/>
      <c r="AJ64" s="193"/>
      <c r="AK64" s="193"/>
      <c r="AL64" s="194"/>
      <c r="AM64" s="48"/>
      <c r="AN64" s="48"/>
      <c r="AO64" s="48"/>
      <c r="AP64" s="194"/>
      <c r="AQ64" s="194"/>
      <c r="AR64" s="194"/>
      <c r="AS64" s="194"/>
      <c r="AT64" s="194"/>
      <c r="AU64" s="194"/>
      <c r="AV64" s="194"/>
      <c r="AW64" s="194"/>
      <c r="AX64" s="194"/>
      <c r="AY64" s="194"/>
      <c r="AZ64" s="194"/>
      <c r="BA64" s="194"/>
      <c r="BB64" s="194"/>
      <c r="BC64" s="194"/>
      <c r="BD64" s="194"/>
      <c r="BE64" s="194"/>
      <c r="BF64" s="194"/>
      <c r="BG64" s="194"/>
      <c r="BH64" s="194"/>
      <c r="BI64" s="194"/>
      <c r="BJ64" s="194"/>
      <c r="BK64" s="194"/>
      <c r="BL64" s="194"/>
      <c r="BM64" s="194"/>
      <c r="BN64" s="194"/>
      <c r="BO64" s="194"/>
      <c r="BP64" s="194"/>
      <c r="BQ64" s="194"/>
      <c r="BR64" s="194"/>
      <c r="BS64" s="194"/>
      <c r="BT64" s="194"/>
      <c r="BU64" s="194"/>
      <c r="BV64" s="194"/>
      <c r="BW64" s="194"/>
      <c r="BX64" s="194"/>
      <c r="BY64" s="194"/>
      <c r="BZ64" s="194"/>
      <c r="CA64" s="194"/>
      <c r="CB64" s="194"/>
      <c r="CC64" s="194"/>
      <c r="CD64" s="194"/>
      <c r="CE64" s="194"/>
      <c r="CF64" s="194"/>
      <c r="CG64" s="194"/>
      <c r="CH64" s="194"/>
      <c r="CI64" s="194"/>
      <c r="CJ64" s="194"/>
      <c r="CK64" s="194"/>
      <c r="CL64" s="194"/>
      <c r="CM64" s="194"/>
      <c r="CN64" s="194"/>
      <c r="CO64" s="194"/>
      <c r="CP64" s="48"/>
      <c r="CQ64" s="194"/>
      <c r="CR64" s="194"/>
      <c r="CS64" s="194"/>
      <c r="CT64" s="194"/>
      <c r="CU64" s="194"/>
      <c r="CV64" s="194"/>
      <c r="CW64" s="194"/>
      <c r="CX64" s="194"/>
      <c r="CY64" s="194"/>
      <c r="CZ64" s="194"/>
      <c r="DA64" s="194"/>
      <c r="DB64" s="194"/>
      <c r="DC64" s="194"/>
      <c r="DD64" s="196"/>
      <c r="DE64" s="194"/>
      <c r="DF64" s="194"/>
      <c r="DG64" s="196"/>
      <c r="DH64" s="196"/>
      <c r="DI64" s="196"/>
      <c r="DJ64" s="194"/>
      <c r="DK64" s="194"/>
      <c r="DL64" s="194"/>
      <c r="DM64" s="194"/>
      <c r="DN64" s="194"/>
      <c r="DO64" s="194"/>
      <c r="DP64" s="194"/>
      <c r="DQ64" s="196"/>
      <c r="DR64" s="194"/>
      <c r="DS64" s="196"/>
      <c r="DT64" s="194"/>
      <c r="DU64" s="194"/>
      <c r="DV64" s="194"/>
      <c r="DW64" s="194"/>
      <c r="DX64" s="194"/>
      <c r="DY64" s="194"/>
      <c r="DZ64" s="194"/>
      <c r="EA64" s="194"/>
      <c r="EB64" s="194"/>
      <c r="EC64" s="194"/>
      <c r="ED64" s="194"/>
      <c r="EE64" s="194"/>
      <c r="EF64" s="194"/>
      <c r="EG64" s="194"/>
      <c r="EH64" s="194"/>
      <c r="EI64" s="194"/>
      <c r="EJ64" s="194"/>
      <c r="EK64" s="196"/>
      <c r="EL64" s="196"/>
      <c r="EM64" s="48"/>
      <c r="EN64" s="55"/>
      <c r="EO64" s="48"/>
      <c r="EP64" s="48"/>
      <c r="EQ64" s="196"/>
      <c r="ER64" s="194"/>
      <c r="ES64" s="48"/>
      <c r="ET64" s="194"/>
      <c r="EU64" s="194"/>
      <c r="EV64" s="194"/>
      <c r="EW64" s="211" t="s">
        <v>3900</v>
      </c>
      <c r="EX64" s="211" t="s">
        <v>3940</v>
      </c>
      <c r="EY64" s="211" t="s">
        <v>4002</v>
      </c>
      <c r="EZ64" s="211" t="s">
        <v>4064</v>
      </c>
      <c r="FA64" s="211" t="s">
        <v>4126</v>
      </c>
      <c r="FB64" s="211" t="s">
        <v>4190</v>
      </c>
      <c r="FC64" s="211" t="s">
        <v>4251</v>
      </c>
      <c r="FD64" s="211" t="s">
        <v>4312</v>
      </c>
      <c r="FE64" s="211" t="s">
        <v>4373</v>
      </c>
      <c r="FF64" s="194"/>
      <c r="FG64" s="194"/>
      <c r="FH64" s="194"/>
      <c r="FI64" s="194"/>
      <c r="FJ64" s="55"/>
      <c r="FK64" s="194"/>
      <c r="FL64" s="197"/>
      <c r="FM64" s="194"/>
      <c r="FN64" s="198"/>
      <c r="FO64" s="194"/>
      <c r="FP64" s="198"/>
      <c r="FQ64" s="194"/>
      <c r="FR64" s="43"/>
      <c r="FS64" s="194"/>
      <c r="FT64" s="194"/>
      <c r="FU64" s="194"/>
      <c r="FV64" s="199"/>
      <c r="FW64" s="194"/>
      <c r="FX64" s="200"/>
    </row>
    <row r="65" spans="1:180" ht="15" customHeight="1" x14ac:dyDescent="0.2">
      <c r="A65" s="68" t="s">
        <v>588</v>
      </c>
      <c r="B65" s="189" t="s">
        <v>2868</v>
      </c>
      <c r="C65" s="189" t="s">
        <v>2952</v>
      </c>
      <c r="D65" s="211" t="s">
        <v>3209</v>
      </c>
      <c r="E65" s="53" t="s">
        <v>24</v>
      </c>
      <c r="F65" s="213" t="s">
        <v>472</v>
      </c>
      <c r="G65" s="53"/>
      <c r="H65" s="211" t="s">
        <v>3307</v>
      </c>
      <c r="I65" s="211" t="s">
        <v>3407</v>
      </c>
      <c r="J65" s="211" t="s">
        <v>24</v>
      </c>
      <c r="K65" s="190"/>
      <c r="L65" s="189">
        <v>6</v>
      </c>
      <c r="M65" s="211" t="s">
        <v>3518</v>
      </c>
      <c r="N65" s="211" t="s">
        <v>3618</v>
      </c>
      <c r="O65" s="189" t="s">
        <v>292</v>
      </c>
      <c r="P65" s="189" t="s">
        <v>293</v>
      </c>
      <c r="Q65" s="211">
        <v>27064</v>
      </c>
      <c r="R65" s="189" t="s">
        <v>294</v>
      </c>
      <c r="S65" s="189" t="s">
        <v>3052</v>
      </c>
      <c r="T65" s="189" t="s">
        <v>3118</v>
      </c>
      <c r="U65" s="211">
        <v>8</v>
      </c>
      <c r="V65" s="211" t="s">
        <v>296</v>
      </c>
      <c r="W65" s="211" t="s">
        <v>3710</v>
      </c>
      <c r="X65" s="53"/>
      <c r="Y65" s="211">
        <v>1</v>
      </c>
      <c r="Z65" s="53" t="s">
        <v>298</v>
      </c>
      <c r="AA65" s="189" t="s">
        <v>299</v>
      </c>
      <c r="AB65" s="189" t="s">
        <v>3145</v>
      </c>
      <c r="AC65" s="211" t="s">
        <v>3811</v>
      </c>
      <c r="AD65" s="164" t="b">
        <v>0</v>
      </c>
      <c r="AE65" s="192"/>
      <c r="AF65" s="193"/>
      <c r="AG65" s="193"/>
      <c r="AH65" s="193"/>
      <c r="AI65" s="193"/>
      <c r="AJ65" s="193"/>
      <c r="AK65" s="193"/>
      <c r="AL65" s="194"/>
      <c r="AM65" s="48"/>
      <c r="AN65" s="48"/>
      <c r="AO65" s="48"/>
      <c r="AP65" s="194"/>
      <c r="AQ65" s="194"/>
      <c r="AR65" s="194"/>
      <c r="AS65" s="194"/>
      <c r="AT65" s="194"/>
      <c r="AU65" s="194"/>
      <c r="AV65" s="194"/>
      <c r="AW65" s="194"/>
      <c r="AX65" s="194"/>
      <c r="AY65" s="194"/>
      <c r="AZ65" s="194"/>
      <c r="BA65" s="194"/>
      <c r="BB65" s="194"/>
      <c r="BC65" s="194"/>
      <c r="BD65" s="194"/>
      <c r="BE65" s="194"/>
      <c r="BF65" s="194"/>
      <c r="BG65" s="194"/>
      <c r="BH65" s="194"/>
      <c r="BI65" s="194"/>
      <c r="BJ65" s="194"/>
      <c r="BK65" s="194"/>
      <c r="BL65" s="194"/>
      <c r="BM65" s="194"/>
      <c r="BN65" s="194"/>
      <c r="BO65" s="194"/>
      <c r="BP65" s="194"/>
      <c r="BQ65" s="194"/>
      <c r="BR65" s="194"/>
      <c r="BS65" s="194"/>
      <c r="BT65" s="194"/>
      <c r="BU65" s="194"/>
      <c r="BV65" s="194"/>
      <c r="BW65" s="194"/>
      <c r="BX65" s="194"/>
      <c r="BY65" s="194"/>
      <c r="BZ65" s="194"/>
      <c r="CA65" s="194"/>
      <c r="CB65" s="194"/>
      <c r="CC65" s="194"/>
      <c r="CD65" s="194"/>
      <c r="CE65" s="194"/>
      <c r="CF65" s="194"/>
      <c r="CG65" s="194"/>
      <c r="CH65" s="194"/>
      <c r="CI65" s="194"/>
      <c r="CJ65" s="194"/>
      <c r="CK65" s="194"/>
      <c r="CL65" s="194"/>
      <c r="CM65" s="194"/>
      <c r="CN65" s="194"/>
      <c r="CO65" s="194"/>
      <c r="CP65" s="48"/>
      <c r="CQ65" s="194"/>
      <c r="CR65" s="194"/>
      <c r="CS65" s="194"/>
      <c r="CT65" s="194"/>
      <c r="CU65" s="194"/>
      <c r="CV65" s="194"/>
      <c r="CW65" s="194"/>
      <c r="CX65" s="194"/>
      <c r="CY65" s="194"/>
      <c r="CZ65" s="194"/>
      <c r="DA65" s="194"/>
      <c r="DB65" s="194"/>
      <c r="DC65" s="194"/>
      <c r="DD65" s="196"/>
      <c r="DE65" s="194"/>
      <c r="DF65" s="194"/>
      <c r="DG65" s="196"/>
      <c r="DH65" s="196"/>
      <c r="DI65" s="196"/>
      <c r="DJ65" s="194"/>
      <c r="DK65" s="194"/>
      <c r="DL65" s="194"/>
      <c r="DM65" s="194"/>
      <c r="DN65" s="194"/>
      <c r="DO65" s="194"/>
      <c r="DP65" s="194"/>
      <c r="DQ65" s="196"/>
      <c r="DR65" s="194"/>
      <c r="DS65" s="196"/>
      <c r="DT65" s="194"/>
      <c r="DU65" s="194"/>
      <c r="DV65" s="194"/>
      <c r="DW65" s="194"/>
      <c r="DX65" s="194"/>
      <c r="DY65" s="194"/>
      <c r="DZ65" s="194"/>
      <c r="EA65" s="194"/>
      <c r="EB65" s="194"/>
      <c r="EC65" s="194"/>
      <c r="ED65" s="194"/>
      <c r="EE65" s="194"/>
      <c r="EF65" s="194"/>
      <c r="EG65" s="194"/>
      <c r="EH65" s="194"/>
      <c r="EI65" s="194"/>
      <c r="EJ65" s="194"/>
      <c r="EK65" s="196"/>
      <c r="EL65" s="196"/>
      <c r="EM65" s="48"/>
      <c r="EN65" s="55"/>
      <c r="EO65" s="48"/>
      <c r="EP65" s="48"/>
      <c r="EQ65" s="196"/>
      <c r="ER65" s="194"/>
      <c r="ES65" s="48"/>
      <c r="ET65" s="194"/>
      <c r="EU65" s="194"/>
      <c r="EV65" s="194"/>
      <c r="EW65" s="211" t="s">
        <v>3864</v>
      </c>
      <c r="EX65" s="211" t="s">
        <v>3945</v>
      </c>
      <c r="EY65" s="211" t="s">
        <v>4007</v>
      </c>
      <c r="EZ65" s="211" t="s">
        <v>4069</v>
      </c>
      <c r="FA65" s="211" t="s">
        <v>4131</v>
      </c>
      <c r="FB65" s="211" t="s">
        <v>4195</v>
      </c>
      <c r="FC65" s="211" t="s">
        <v>4256</v>
      </c>
      <c r="FD65" s="211" t="s">
        <v>4317</v>
      </c>
      <c r="FE65" s="211" t="s">
        <v>4378</v>
      </c>
      <c r="FF65" s="194"/>
      <c r="FG65" s="194"/>
      <c r="FH65" s="194"/>
      <c r="FI65" s="194"/>
      <c r="FJ65" s="55"/>
      <c r="FK65" s="194"/>
      <c r="FL65" s="197"/>
      <c r="FM65" s="194"/>
      <c r="FN65" s="198"/>
      <c r="FO65" s="194"/>
      <c r="FP65" s="198"/>
      <c r="FQ65" s="194"/>
      <c r="FR65" s="43"/>
      <c r="FS65" s="194"/>
      <c r="FT65" s="194"/>
      <c r="FU65" s="194"/>
      <c r="FV65" s="199"/>
      <c r="FW65" s="194"/>
      <c r="FX65" s="200"/>
    </row>
    <row r="66" spans="1:180" ht="15" customHeight="1" x14ac:dyDescent="0.2">
      <c r="A66" s="119" t="s">
        <v>289</v>
      </c>
      <c r="B66" s="189" t="s">
        <v>2847</v>
      </c>
      <c r="C66" s="189" t="s">
        <v>2953</v>
      </c>
      <c r="D66" s="211" t="s">
        <v>3210</v>
      </c>
      <c r="E66" s="53" t="s">
        <v>24</v>
      </c>
      <c r="F66" s="212" t="s">
        <v>24</v>
      </c>
      <c r="G66" s="53"/>
      <c r="H66" s="211" t="s">
        <v>3308</v>
      </c>
      <c r="I66" s="211" t="s">
        <v>3408</v>
      </c>
      <c r="J66" s="211" t="s">
        <v>870</v>
      </c>
      <c r="K66" s="190"/>
      <c r="L66" s="189">
        <v>4</v>
      </c>
      <c r="M66" s="211" t="s">
        <v>3519</v>
      </c>
      <c r="N66" s="211" t="s">
        <v>3619</v>
      </c>
      <c r="O66" s="189" t="s">
        <v>292</v>
      </c>
      <c r="P66" s="189" t="s">
        <v>293</v>
      </c>
      <c r="Q66" s="211">
        <v>27065</v>
      </c>
      <c r="R66" s="189" t="s">
        <v>294</v>
      </c>
      <c r="S66" s="189" t="s">
        <v>3053</v>
      </c>
      <c r="T66" s="189" t="s">
        <v>3125</v>
      </c>
      <c r="U66" s="211">
        <v>12</v>
      </c>
      <c r="V66" s="211" t="s">
        <v>296</v>
      </c>
      <c r="W66" s="211" t="s">
        <v>3711</v>
      </c>
      <c r="X66" s="53"/>
      <c r="Y66" s="211">
        <v>2</v>
      </c>
      <c r="Z66" s="53" t="s">
        <v>298</v>
      </c>
      <c r="AA66" s="189" t="s">
        <v>3142</v>
      </c>
      <c r="AB66" s="189" t="s">
        <v>3144</v>
      </c>
      <c r="AC66" s="211" t="s">
        <v>3812</v>
      </c>
      <c r="AD66" s="164" t="b">
        <v>0</v>
      </c>
      <c r="AE66" s="192"/>
      <c r="AF66" s="193"/>
      <c r="AG66" s="193"/>
      <c r="AH66" s="193"/>
      <c r="AI66" s="193"/>
      <c r="AJ66" s="193"/>
      <c r="AK66" s="193"/>
      <c r="AL66" s="194"/>
      <c r="AM66" s="48"/>
      <c r="AN66" s="48"/>
      <c r="AO66" s="48"/>
      <c r="AP66" s="194"/>
      <c r="AQ66" s="194"/>
      <c r="AR66" s="194"/>
      <c r="AS66" s="194"/>
      <c r="AT66" s="194"/>
      <c r="AU66" s="194"/>
      <c r="AV66" s="194"/>
      <c r="AW66" s="194"/>
      <c r="AX66" s="194"/>
      <c r="AY66" s="194"/>
      <c r="AZ66" s="194"/>
      <c r="BA66" s="194"/>
      <c r="BB66" s="194"/>
      <c r="BC66" s="194"/>
      <c r="BD66" s="194"/>
      <c r="BE66" s="194"/>
      <c r="BF66" s="194"/>
      <c r="BG66" s="194"/>
      <c r="BH66" s="194"/>
      <c r="BI66" s="194"/>
      <c r="BJ66" s="194"/>
      <c r="BK66" s="194"/>
      <c r="BL66" s="194"/>
      <c r="BM66" s="194"/>
      <c r="BN66" s="194"/>
      <c r="BO66" s="194"/>
      <c r="BP66" s="194"/>
      <c r="BQ66" s="194"/>
      <c r="BR66" s="194"/>
      <c r="BS66" s="194"/>
      <c r="BT66" s="194"/>
      <c r="BU66" s="194"/>
      <c r="BV66" s="194"/>
      <c r="BW66" s="194"/>
      <c r="BX66" s="194"/>
      <c r="BY66" s="194"/>
      <c r="BZ66" s="194"/>
      <c r="CA66" s="194"/>
      <c r="CB66" s="194"/>
      <c r="CC66" s="194"/>
      <c r="CD66" s="194"/>
      <c r="CE66" s="194"/>
      <c r="CF66" s="194"/>
      <c r="CG66" s="194"/>
      <c r="CH66" s="194"/>
      <c r="CI66" s="194"/>
      <c r="CJ66" s="194"/>
      <c r="CK66" s="194"/>
      <c r="CL66" s="194"/>
      <c r="CM66" s="194"/>
      <c r="CN66" s="194"/>
      <c r="CO66" s="194"/>
      <c r="CP66" s="48"/>
      <c r="CQ66" s="194"/>
      <c r="CR66" s="194"/>
      <c r="CS66" s="194"/>
      <c r="CT66" s="194"/>
      <c r="CU66" s="194"/>
      <c r="CV66" s="194"/>
      <c r="CW66" s="194"/>
      <c r="CX66" s="194"/>
      <c r="CY66" s="194"/>
      <c r="CZ66" s="194"/>
      <c r="DA66" s="194"/>
      <c r="DB66" s="194"/>
      <c r="DC66" s="194"/>
      <c r="DD66" s="196"/>
      <c r="DE66" s="194"/>
      <c r="DF66" s="194"/>
      <c r="DG66" s="196"/>
      <c r="DH66" s="196"/>
      <c r="DI66" s="196"/>
      <c r="DJ66" s="194"/>
      <c r="DK66" s="194"/>
      <c r="DL66" s="194"/>
      <c r="DM66" s="194"/>
      <c r="DN66" s="194"/>
      <c r="DO66" s="194"/>
      <c r="DP66" s="194"/>
      <c r="DQ66" s="196"/>
      <c r="DR66" s="194"/>
      <c r="DS66" s="196"/>
      <c r="DT66" s="194"/>
      <c r="DU66" s="194"/>
      <c r="DV66" s="194"/>
      <c r="DW66" s="194"/>
      <c r="DX66" s="194"/>
      <c r="DY66" s="194"/>
      <c r="DZ66" s="194"/>
      <c r="EA66" s="194"/>
      <c r="EB66" s="194"/>
      <c r="EC66" s="194"/>
      <c r="ED66" s="194"/>
      <c r="EE66" s="194"/>
      <c r="EF66" s="194"/>
      <c r="EG66" s="194"/>
      <c r="EH66" s="194"/>
      <c r="EI66" s="194"/>
      <c r="EJ66" s="194"/>
      <c r="EK66" s="196"/>
      <c r="EL66" s="196"/>
      <c r="EM66" s="48"/>
      <c r="EN66" s="55"/>
      <c r="EO66" s="48"/>
      <c r="EP66" s="48"/>
      <c r="EQ66" s="196"/>
      <c r="ER66" s="194"/>
      <c r="ES66" s="48"/>
      <c r="ET66" s="194"/>
      <c r="EU66" s="194"/>
      <c r="EV66" s="194"/>
      <c r="EW66" s="211" t="s">
        <v>3901</v>
      </c>
      <c r="EX66" s="211" t="s">
        <v>3971</v>
      </c>
      <c r="EY66" s="211" t="s">
        <v>4033</v>
      </c>
      <c r="EZ66" s="211" t="s">
        <v>4095</v>
      </c>
      <c r="FA66" s="211" t="s">
        <v>4157</v>
      </c>
      <c r="FB66" s="211" t="s">
        <v>4221</v>
      </c>
      <c r="FC66" s="211" t="s">
        <v>4282</v>
      </c>
      <c r="FD66" s="211" t="s">
        <v>4343</v>
      </c>
      <c r="FE66" s="211" t="s">
        <v>4404</v>
      </c>
      <c r="FF66" s="194"/>
      <c r="FG66" s="194"/>
      <c r="FH66" s="194"/>
      <c r="FI66" s="194"/>
      <c r="FJ66" s="55"/>
      <c r="FK66" s="194"/>
      <c r="FL66" s="197"/>
      <c r="FM66" s="194"/>
      <c r="FN66" s="198"/>
      <c r="FO66" s="194"/>
      <c r="FP66" s="198"/>
      <c r="FQ66" s="194"/>
      <c r="FR66" s="43"/>
      <c r="FS66" s="194"/>
      <c r="FT66" s="194"/>
      <c r="FU66" s="194"/>
      <c r="FV66" s="199"/>
      <c r="FW66" s="194"/>
      <c r="FX66" s="200"/>
    </row>
    <row r="67" spans="1:180" ht="15" customHeight="1" x14ac:dyDescent="0.2">
      <c r="A67" s="68" t="s">
        <v>289</v>
      </c>
      <c r="B67" s="189" t="s">
        <v>2869</v>
      </c>
      <c r="C67" s="189" t="s">
        <v>2954</v>
      </c>
      <c r="D67" s="211" t="s">
        <v>3211</v>
      </c>
      <c r="E67" s="53" t="s">
        <v>698</v>
      </c>
      <c r="F67" s="213" t="s">
        <v>407</v>
      </c>
      <c r="G67" s="53"/>
      <c r="H67" s="211" t="s">
        <v>3309</v>
      </c>
      <c r="I67" s="211" t="s">
        <v>3409</v>
      </c>
      <c r="J67" s="211" t="s">
        <v>472</v>
      </c>
      <c r="K67" s="190"/>
      <c r="L67" s="189">
        <v>4</v>
      </c>
      <c r="M67" s="211" t="s">
        <v>3520</v>
      </c>
      <c r="N67" s="211" t="s">
        <v>3620</v>
      </c>
      <c r="O67" s="189" t="s">
        <v>292</v>
      </c>
      <c r="P67" s="189" t="s">
        <v>293</v>
      </c>
      <c r="Q67" s="211">
        <v>27066</v>
      </c>
      <c r="R67" s="189" t="s">
        <v>294</v>
      </c>
      <c r="S67" s="189" t="s">
        <v>3054</v>
      </c>
      <c r="T67" s="189" t="s">
        <v>3105</v>
      </c>
      <c r="U67" s="211">
        <v>7</v>
      </c>
      <c r="V67" s="211" t="s">
        <v>296</v>
      </c>
      <c r="W67" s="211" t="s">
        <v>3712</v>
      </c>
      <c r="X67" s="53"/>
      <c r="Y67" s="211">
        <v>1</v>
      </c>
      <c r="Z67" s="89" t="s">
        <v>298</v>
      </c>
      <c r="AA67" s="189" t="s">
        <v>299</v>
      </c>
      <c r="AB67" s="189" t="s">
        <v>410</v>
      </c>
      <c r="AC67" s="211" t="s">
        <v>3813</v>
      </c>
      <c r="AD67" s="164" t="b">
        <v>0</v>
      </c>
      <c r="AE67" s="192"/>
      <c r="AF67" s="193"/>
      <c r="AG67" s="193"/>
      <c r="AH67" s="193"/>
      <c r="AI67" s="193"/>
      <c r="AJ67" s="193"/>
      <c r="AK67" s="193"/>
      <c r="AL67" s="194"/>
      <c r="AM67" s="48"/>
      <c r="AN67" s="48"/>
      <c r="AO67" s="48"/>
      <c r="AP67" s="194"/>
      <c r="AQ67" s="194"/>
      <c r="AR67" s="194"/>
      <c r="AS67" s="194"/>
      <c r="AT67" s="194"/>
      <c r="AU67" s="194"/>
      <c r="AV67" s="194"/>
      <c r="AW67" s="194"/>
      <c r="AX67" s="194"/>
      <c r="AY67" s="194"/>
      <c r="AZ67" s="194"/>
      <c r="BA67" s="194"/>
      <c r="BB67" s="194"/>
      <c r="BC67" s="194"/>
      <c r="BD67" s="194"/>
      <c r="BE67" s="194"/>
      <c r="BF67" s="194"/>
      <c r="BG67" s="194"/>
      <c r="BH67" s="194"/>
      <c r="BI67" s="194"/>
      <c r="BJ67" s="194"/>
      <c r="BK67" s="194"/>
      <c r="BL67" s="194"/>
      <c r="BM67" s="194"/>
      <c r="BN67" s="194"/>
      <c r="BO67" s="194"/>
      <c r="BP67" s="194"/>
      <c r="BQ67" s="194"/>
      <c r="BR67" s="194"/>
      <c r="BS67" s="194"/>
      <c r="BT67" s="194"/>
      <c r="BU67" s="194"/>
      <c r="BV67" s="194"/>
      <c r="BW67" s="194"/>
      <c r="BX67" s="194"/>
      <c r="BY67" s="194"/>
      <c r="BZ67" s="194"/>
      <c r="CA67" s="194"/>
      <c r="CB67" s="194"/>
      <c r="CC67" s="194"/>
      <c r="CD67" s="194"/>
      <c r="CE67" s="194"/>
      <c r="CF67" s="194"/>
      <c r="CG67" s="194"/>
      <c r="CH67" s="194"/>
      <c r="CI67" s="194"/>
      <c r="CJ67" s="194"/>
      <c r="CK67" s="194"/>
      <c r="CL67" s="194"/>
      <c r="CM67" s="194"/>
      <c r="CN67" s="194"/>
      <c r="CO67" s="194"/>
      <c r="CP67" s="48"/>
      <c r="CQ67" s="194"/>
      <c r="CR67" s="194"/>
      <c r="CS67" s="194"/>
      <c r="CT67" s="194"/>
      <c r="CU67" s="194"/>
      <c r="CV67" s="194"/>
      <c r="CW67" s="194"/>
      <c r="CX67" s="194"/>
      <c r="CY67" s="194"/>
      <c r="CZ67" s="194"/>
      <c r="DA67" s="194"/>
      <c r="DB67" s="194"/>
      <c r="DC67" s="194"/>
      <c r="DD67" s="196"/>
      <c r="DE67" s="194"/>
      <c r="DF67" s="194"/>
      <c r="DG67" s="196"/>
      <c r="DH67" s="196"/>
      <c r="DI67" s="196"/>
      <c r="DJ67" s="194"/>
      <c r="DK67" s="194"/>
      <c r="DL67" s="194"/>
      <c r="DM67" s="194"/>
      <c r="DN67" s="194"/>
      <c r="DO67" s="194"/>
      <c r="DP67" s="194"/>
      <c r="DQ67" s="196"/>
      <c r="DR67" s="194"/>
      <c r="DS67" s="196"/>
      <c r="DT67" s="194"/>
      <c r="DU67" s="194"/>
      <c r="DV67" s="194"/>
      <c r="DW67" s="194"/>
      <c r="DX67" s="194"/>
      <c r="DY67" s="194"/>
      <c r="DZ67" s="194"/>
      <c r="EA67" s="194"/>
      <c r="EB67" s="194"/>
      <c r="EC67" s="194"/>
      <c r="ED67" s="194"/>
      <c r="EE67" s="194"/>
      <c r="EF67" s="194"/>
      <c r="EG67" s="194"/>
      <c r="EH67" s="194"/>
      <c r="EI67" s="194"/>
      <c r="EJ67" s="194"/>
      <c r="EK67" s="196"/>
      <c r="EL67" s="196"/>
      <c r="EM67" s="48"/>
      <c r="EN67" s="55"/>
      <c r="EO67" s="48"/>
      <c r="EP67" s="48"/>
      <c r="EQ67" s="196"/>
      <c r="ER67" s="194"/>
      <c r="ES67" s="48"/>
      <c r="ET67" s="194"/>
      <c r="EU67" s="194"/>
      <c r="EV67" s="194"/>
      <c r="EW67" s="211" t="s">
        <v>3880</v>
      </c>
      <c r="EX67" s="211" t="s">
        <v>3972</v>
      </c>
      <c r="EY67" s="211" t="s">
        <v>4034</v>
      </c>
      <c r="EZ67" s="211" t="s">
        <v>4096</v>
      </c>
      <c r="FA67" s="211" t="s">
        <v>4158</v>
      </c>
      <c r="FB67" s="211" t="s">
        <v>4222</v>
      </c>
      <c r="FC67" s="211" t="s">
        <v>4283</v>
      </c>
      <c r="FD67" s="211" t="s">
        <v>4344</v>
      </c>
      <c r="FE67" s="211" t="s">
        <v>4405</v>
      </c>
      <c r="FF67" s="194"/>
      <c r="FG67" s="194"/>
      <c r="FH67" s="194"/>
      <c r="FI67" s="194"/>
      <c r="FJ67" s="55"/>
      <c r="FK67" s="194"/>
      <c r="FL67" s="197"/>
      <c r="FM67" s="194"/>
      <c r="FN67" s="198"/>
      <c r="FO67" s="194"/>
      <c r="FP67" s="198"/>
      <c r="FQ67" s="194"/>
      <c r="FR67" s="43"/>
      <c r="FS67" s="194"/>
      <c r="FT67" s="194"/>
      <c r="FU67" s="194"/>
      <c r="FV67" s="199"/>
      <c r="FW67" s="194"/>
      <c r="FX67" s="200"/>
    </row>
    <row r="68" spans="1:180" ht="15" customHeight="1" x14ac:dyDescent="0.2">
      <c r="A68" s="96" t="s">
        <v>289</v>
      </c>
      <c r="B68" s="189" t="s">
        <v>2865</v>
      </c>
      <c r="C68" s="189" t="s">
        <v>2955</v>
      </c>
      <c r="D68" s="211" t="s">
        <v>3212</v>
      </c>
      <c r="E68" s="70" t="s">
        <v>24</v>
      </c>
      <c r="F68" s="212" t="s">
        <v>407</v>
      </c>
      <c r="G68" s="53"/>
      <c r="H68" s="211" t="s">
        <v>3310</v>
      </c>
      <c r="I68" s="211" t="s">
        <v>3410</v>
      </c>
      <c r="J68" s="211" t="s">
        <v>833</v>
      </c>
      <c r="K68" s="190"/>
      <c r="L68" s="189">
        <v>4</v>
      </c>
      <c r="M68" s="211" t="s">
        <v>3521</v>
      </c>
      <c r="N68" s="211" t="s">
        <v>3621</v>
      </c>
      <c r="O68" s="189" t="s">
        <v>292</v>
      </c>
      <c r="P68" s="189" t="s">
        <v>293</v>
      </c>
      <c r="Q68" s="211">
        <v>27067</v>
      </c>
      <c r="R68" s="189" t="s">
        <v>294</v>
      </c>
      <c r="S68" s="189" t="s">
        <v>3055</v>
      </c>
      <c r="T68" s="189" t="s">
        <v>3126</v>
      </c>
      <c r="U68" s="211">
        <v>11</v>
      </c>
      <c r="V68" s="211" t="s">
        <v>296</v>
      </c>
      <c r="W68" s="211" t="s">
        <v>3713</v>
      </c>
      <c r="X68" s="53"/>
      <c r="Y68" s="211">
        <v>1</v>
      </c>
      <c r="Z68" s="53" t="s">
        <v>535</v>
      </c>
      <c r="AA68" s="189" t="s">
        <v>3142</v>
      </c>
      <c r="AB68" s="189" t="s">
        <v>766</v>
      </c>
      <c r="AC68" s="211" t="s">
        <v>3814</v>
      </c>
      <c r="AD68" s="164" t="b">
        <v>1</v>
      </c>
      <c r="AE68" s="192"/>
      <c r="AF68" s="193"/>
      <c r="AG68" s="193"/>
      <c r="AH68" s="193"/>
      <c r="AI68" s="193"/>
      <c r="AJ68" s="193"/>
      <c r="AK68" s="193"/>
      <c r="AL68" s="194"/>
      <c r="AM68" s="48"/>
      <c r="AN68" s="48"/>
      <c r="AO68" s="48"/>
      <c r="AP68" s="194"/>
      <c r="AQ68" s="194"/>
      <c r="AR68" s="194"/>
      <c r="AS68" s="194"/>
      <c r="AT68" s="194"/>
      <c r="AU68" s="194"/>
      <c r="AV68" s="194"/>
      <c r="AW68" s="194"/>
      <c r="AX68" s="194"/>
      <c r="AY68" s="194"/>
      <c r="AZ68" s="194"/>
      <c r="BA68" s="194"/>
      <c r="BB68" s="194"/>
      <c r="BC68" s="194"/>
      <c r="BD68" s="194"/>
      <c r="BE68" s="194"/>
      <c r="BF68" s="194"/>
      <c r="BG68" s="194"/>
      <c r="BH68" s="194"/>
      <c r="BI68" s="194"/>
      <c r="BJ68" s="194"/>
      <c r="BK68" s="194"/>
      <c r="BL68" s="194"/>
      <c r="BM68" s="194"/>
      <c r="BN68" s="194"/>
      <c r="BO68" s="194"/>
      <c r="BP68" s="194"/>
      <c r="BQ68" s="194"/>
      <c r="BR68" s="194"/>
      <c r="BS68" s="194"/>
      <c r="BT68" s="194"/>
      <c r="BU68" s="194"/>
      <c r="BV68" s="194"/>
      <c r="BW68" s="194"/>
      <c r="BX68" s="194"/>
      <c r="BY68" s="194"/>
      <c r="BZ68" s="194"/>
      <c r="CA68" s="194"/>
      <c r="CB68" s="194"/>
      <c r="CC68" s="194"/>
      <c r="CD68" s="194"/>
      <c r="CE68" s="194"/>
      <c r="CF68" s="194"/>
      <c r="CG68" s="194"/>
      <c r="CH68" s="194"/>
      <c r="CI68" s="194"/>
      <c r="CJ68" s="194"/>
      <c r="CK68" s="194"/>
      <c r="CL68" s="194"/>
      <c r="CM68" s="194"/>
      <c r="CN68" s="194"/>
      <c r="CO68" s="194"/>
      <c r="CP68" s="48"/>
      <c r="CQ68" s="194"/>
      <c r="CR68" s="194"/>
      <c r="CS68" s="194"/>
      <c r="CT68" s="194"/>
      <c r="CU68" s="194"/>
      <c r="CV68" s="194"/>
      <c r="CW68" s="194"/>
      <c r="CX68" s="194"/>
      <c r="CY68" s="194"/>
      <c r="CZ68" s="194"/>
      <c r="DA68" s="194"/>
      <c r="DB68" s="194"/>
      <c r="DC68" s="194"/>
      <c r="DD68" s="196"/>
      <c r="DE68" s="194"/>
      <c r="DF68" s="194"/>
      <c r="DG68" s="196"/>
      <c r="DH68" s="196"/>
      <c r="DI68" s="196"/>
      <c r="DJ68" s="194"/>
      <c r="DK68" s="194"/>
      <c r="DL68" s="194"/>
      <c r="DM68" s="194"/>
      <c r="DN68" s="194"/>
      <c r="DO68" s="194"/>
      <c r="DP68" s="194"/>
      <c r="DQ68" s="196"/>
      <c r="DR68" s="194"/>
      <c r="DS68" s="196"/>
      <c r="DT68" s="194"/>
      <c r="DU68" s="194"/>
      <c r="DV68" s="194"/>
      <c r="DW68" s="194"/>
      <c r="DX68" s="194"/>
      <c r="DY68" s="194"/>
      <c r="DZ68" s="194"/>
      <c r="EA68" s="194"/>
      <c r="EB68" s="194"/>
      <c r="EC68" s="194"/>
      <c r="ED68" s="194"/>
      <c r="EE68" s="194"/>
      <c r="EF68" s="194"/>
      <c r="EG68" s="194"/>
      <c r="EH68" s="194"/>
      <c r="EI68" s="194"/>
      <c r="EJ68" s="194"/>
      <c r="EK68" s="196"/>
      <c r="EL68" s="196"/>
      <c r="EM68" s="48"/>
      <c r="EN68" s="55"/>
      <c r="EO68" s="48"/>
      <c r="EP68" s="48"/>
      <c r="EQ68" s="196"/>
      <c r="ER68" s="194"/>
      <c r="ES68" s="48"/>
      <c r="ET68" s="194"/>
      <c r="EU68" s="194"/>
      <c r="EV68" s="194"/>
      <c r="EW68" s="211" t="s">
        <v>3881</v>
      </c>
      <c r="EX68" s="211" t="s">
        <v>3948</v>
      </c>
      <c r="EY68" s="211" t="s">
        <v>4010</v>
      </c>
      <c r="EZ68" s="211" t="s">
        <v>4072</v>
      </c>
      <c r="FA68" s="211" t="s">
        <v>4134</v>
      </c>
      <c r="FB68" s="211" t="s">
        <v>4198</v>
      </c>
      <c r="FC68" s="211" t="s">
        <v>4259</v>
      </c>
      <c r="FD68" s="211" t="s">
        <v>4320</v>
      </c>
      <c r="FE68" s="211" t="s">
        <v>4381</v>
      </c>
      <c r="FF68" s="194"/>
      <c r="FG68" s="194"/>
      <c r="FH68" s="194"/>
      <c r="FI68" s="194"/>
      <c r="FJ68" s="55"/>
      <c r="FK68" s="194"/>
      <c r="FL68" s="197"/>
      <c r="FM68" s="194"/>
      <c r="FN68" s="198"/>
      <c r="FO68" s="194"/>
      <c r="FP68" s="198"/>
      <c r="FQ68" s="194"/>
      <c r="FR68" s="43"/>
      <c r="FS68" s="194"/>
      <c r="FT68" s="194"/>
      <c r="FU68" s="194"/>
      <c r="FV68" s="199"/>
      <c r="FW68" s="194"/>
      <c r="FX68" s="200"/>
    </row>
    <row r="69" spans="1:180" ht="15" customHeight="1" x14ac:dyDescent="0.2">
      <c r="A69" s="154" t="s">
        <v>289</v>
      </c>
      <c r="B69" s="189" t="s">
        <v>2870</v>
      </c>
      <c r="C69" s="189" t="s">
        <v>2956</v>
      </c>
      <c r="D69" s="211" t="s">
        <v>3213</v>
      </c>
      <c r="E69" s="53" t="s">
        <v>472</v>
      </c>
      <c r="F69" s="213" t="s">
        <v>472</v>
      </c>
      <c r="G69" s="53"/>
      <c r="H69" s="211" t="s">
        <v>3311</v>
      </c>
      <c r="I69" s="211" t="s">
        <v>3411</v>
      </c>
      <c r="J69" s="211" t="s">
        <v>24</v>
      </c>
      <c r="K69" s="190"/>
      <c r="L69" s="189">
        <v>6</v>
      </c>
      <c r="M69" s="211" t="s">
        <v>3522</v>
      </c>
      <c r="N69" s="211" t="s">
        <v>3622</v>
      </c>
      <c r="O69" s="189" t="s">
        <v>292</v>
      </c>
      <c r="P69" s="189" t="s">
        <v>293</v>
      </c>
      <c r="Q69" s="211">
        <v>27068</v>
      </c>
      <c r="R69" s="189" t="s">
        <v>294</v>
      </c>
      <c r="S69" s="189" t="s">
        <v>3056</v>
      </c>
      <c r="T69" s="189" t="s">
        <v>3127</v>
      </c>
      <c r="U69" s="211">
        <v>9</v>
      </c>
      <c r="V69" s="211" t="s">
        <v>296</v>
      </c>
      <c r="W69" s="211" t="s">
        <v>3714</v>
      </c>
      <c r="X69" s="53"/>
      <c r="Y69" s="211">
        <v>1</v>
      </c>
      <c r="Z69" s="53" t="s">
        <v>556</v>
      </c>
      <c r="AA69" s="189" t="s">
        <v>3143</v>
      </c>
      <c r="AB69" s="189" t="s">
        <v>3144</v>
      </c>
      <c r="AC69" s="211" t="s">
        <v>3815</v>
      </c>
      <c r="AD69" s="164" t="b">
        <v>1</v>
      </c>
      <c r="AE69" s="192"/>
      <c r="AF69" s="193"/>
      <c r="AG69" s="193"/>
      <c r="AH69" s="193"/>
      <c r="AI69" s="193"/>
      <c r="AJ69" s="193"/>
      <c r="AK69" s="193"/>
      <c r="AL69" s="194"/>
      <c r="AM69" s="48"/>
      <c r="AN69" s="48"/>
      <c r="AO69" s="48"/>
      <c r="AP69" s="194"/>
      <c r="AQ69" s="194"/>
      <c r="AR69" s="194"/>
      <c r="AS69" s="194"/>
      <c r="AT69" s="194"/>
      <c r="AU69" s="194"/>
      <c r="AV69" s="194"/>
      <c r="AW69" s="194"/>
      <c r="AX69" s="194"/>
      <c r="AY69" s="194"/>
      <c r="AZ69" s="194"/>
      <c r="BA69" s="194"/>
      <c r="BB69" s="194"/>
      <c r="BC69" s="194"/>
      <c r="BD69" s="194"/>
      <c r="BE69" s="194"/>
      <c r="BF69" s="194"/>
      <c r="BG69" s="194"/>
      <c r="BH69" s="194"/>
      <c r="BI69" s="194"/>
      <c r="BJ69" s="194"/>
      <c r="BK69" s="194"/>
      <c r="BL69" s="194"/>
      <c r="BM69" s="194"/>
      <c r="BN69" s="194"/>
      <c r="BO69" s="194"/>
      <c r="BP69" s="194"/>
      <c r="BQ69" s="194"/>
      <c r="BR69" s="194"/>
      <c r="BS69" s="194"/>
      <c r="BT69" s="194"/>
      <c r="BU69" s="194"/>
      <c r="BV69" s="194"/>
      <c r="BW69" s="194"/>
      <c r="BX69" s="194"/>
      <c r="BY69" s="194"/>
      <c r="BZ69" s="194"/>
      <c r="CA69" s="194"/>
      <c r="CB69" s="194"/>
      <c r="CC69" s="194"/>
      <c r="CD69" s="194"/>
      <c r="CE69" s="194"/>
      <c r="CF69" s="194"/>
      <c r="CG69" s="194"/>
      <c r="CH69" s="194"/>
      <c r="CI69" s="194"/>
      <c r="CJ69" s="194"/>
      <c r="CK69" s="194"/>
      <c r="CL69" s="194"/>
      <c r="CM69" s="194"/>
      <c r="CN69" s="194"/>
      <c r="CO69" s="194"/>
      <c r="CP69" s="48"/>
      <c r="CQ69" s="194"/>
      <c r="CR69" s="194"/>
      <c r="CS69" s="194"/>
      <c r="CT69" s="194"/>
      <c r="CU69" s="194"/>
      <c r="CV69" s="194"/>
      <c r="CW69" s="194"/>
      <c r="CX69" s="194"/>
      <c r="CY69" s="194"/>
      <c r="CZ69" s="194"/>
      <c r="DA69" s="194"/>
      <c r="DB69" s="194"/>
      <c r="DC69" s="194"/>
      <c r="DD69" s="196"/>
      <c r="DE69" s="194"/>
      <c r="DF69" s="194"/>
      <c r="DG69" s="196"/>
      <c r="DH69" s="196"/>
      <c r="DI69" s="196"/>
      <c r="DJ69" s="194"/>
      <c r="DK69" s="194"/>
      <c r="DL69" s="194"/>
      <c r="DM69" s="194"/>
      <c r="DN69" s="194"/>
      <c r="DO69" s="194"/>
      <c r="DP69" s="194"/>
      <c r="DQ69" s="196"/>
      <c r="DR69" s="194"/>
      <c r="DS69" s="196"/>
      <c r="DT69" s="194"/>
      <c r="DU69" s="194"/>
      <c r="DV69" s="194"/>
      <c r="DW69" s="194"/>
      <c r="DX69" s="194"/>
      <c r="DY69" s="194"/>
      <c r="DZ69" s="194"/>
      <c r="EA69" s="194"/>
      <c r="EB69" s="194"/>
      <c r="EC69" s="194"/>
      <c r="ED69" s="194"/>
      <c r="EE69" s="194"/>
      <c r="EF69" s="194"/>
      <c r="EG69" s="194"/>
      <c r="EH69" s="194"/>
      <c r="EI69" s="194"/>
      <c r="EJ69" s="194"/>
      <c r="EK69" s="196"/>
      <c r="EL69" s="196"/>
      <c r="EM69" s="48"/>
      <c r="EN69" s="55"/>
      <c r="EO69" s="48"/>
      <c r="EP69" s="48"/>
      <c r="EQ69" s="196"/>
      <c r="ER69" s="194"/>
      <c r="ES69" s="48"/>
      <c r="ET69" s="194"/>
      <c r="EU69" s="194"/>
      <c r="EV69" s="194"/>
      <c r="EW69" s="211" t="s">
        <v>3902</v>
      </c>
      <c r="EX69" s="211" t="s">
        <v>3968</v>
      </c>
      <c r="EY69" s="211" t="s">
        <v>4030</v>
      </c>
      <c r="EZ69" s="211" t="s">
        <v>4092</v>
      </c>
      <c r="FA69" s="211" t="s">
        <v>4154</v>
      </c>
      <c r="FB69" s="211" t="s">
        <v>4218</v>
      </c>
      <c r="FC69" s="211" t="s">
        <v>4279</v>
      </c>
      <c r="FD69" s="211" t="s">
        <v>4340</v>
      </c>
      <c r="FE69" s="211" t="s">
        <v>4401</v>
      </c>
      <c r="FF69" s="194"/>
      <c r="FG69" s="194"/>
      <c r="FH69" s="194"/>
      <c r="FI69" s="194"/>
      <c r="FJ69" s="55"/>
      <c r="FK69" s="194"/>
      <c r="FL69" s="197"/>
      <c r="FM69" s="194"/>
      <c r="FN69" s="198"/>
      <c r="FO69" s="194"/>
      <c r="FP69" s="198"/>
      <c r="FQ69" s="194"/>
      <c r="FR69" s="43"/>
      <c r="FS69" s="194"/>
      <c r="FT69" s="194"/>
      <c r="FU69" s="194"/>
      <c r="FV69" s="199"/>
      <c r="FW69" s="194"/>
      <c r="FX69" s="200"/>
    </row>
    <row r="70" spans="1:180" ht="15" customHeight="1" x14ac:dyDescent="0.2">
      <c r="A70" s="176" t="s">
        <v>624</v>
      </c>
      <c r="B70" s="189" t="s">
        <v>2843</v>
      </c>
      <c r="C70" s="189" t="s">
        <v>2957</v>
      </c>
      <c r="D70" s="211" t="s">
        <v>3214</v>
      </c>
      <c r="E70" s="53" t="s">
        <v>24</v>
      </c>
      <c r="F70" s="212" t="s">
        <v>407</v>
      </c>
      <c r="G70" s="53"/>
      <c r="H70" s="211" t="s">
        <v>3312</v>
      </c>
      <c r="I70" s="211" t="s">
        <v>3412</v>
      </c>
      <c r="J70" s="211" t="s">
        <v>472</v>
      </c>
      <c r="K70" s="190"/>
      <c r="L70" s="189">
        <v>6</v>
      </c>
      <c r="M70" s="211" t="s">
        <v>3523</v>
      </c>
      <c r="N70" s="211" t="s">
        <v>3623</v>
      </c>
      <c r="O70" s="189" t="s">
        <v>292</v>
      </c>
      <c r="P70" s="189" t="s">
        <v>293</v>
      </c>
      <c r="Q70" s="211">
        <v>27069</v>
      </c>
      <c r="R70" s="189" t="s">
        <v>294</v>
      </c>
      <c r="S70" s="189" t="s">
        <v>3057</v>
      </c>
      <c r="T70" s="189" t="s">
        <v>628</v>
      </c>
      <c r="U70" s="211">
        <v>14</v>
      </c>
      <c r="V70" s="211" t="s">
        <v>296</v>
      </c>
      <c r="W70" s="211" t="s">
        <v>3715</v>
      </c>
      <c r="X70" s="53"/>
      <c r="Y70" s="211">
        <v>1</v>
      </c>
      <c r="Z70" s="53" t="s">
        <v>298</v>
      </c>
      <c r="AA70" s="189" t="s">
        <v>299</v>
      </c>
      <c r="AB70" s="189" t="s">
        <v>3146</v>
      </c>
      <c r="AC70" s="211" t="s">
        <v>3816</v>
      </c>
      <c r="AD70" s="164" t="b">
        <v>1</v>
      </c>
      <c r="AE70" s="192"/>
      <c r="AF70" s="193"/>
      <c r="AG70" s="193"/>
      <c r="AH70" s="193"/>
      <c r="AI70" s="193"/>
      <c r="AJ70" s="193"/>
      <c r="AK70" s="193"/>
      <c r="AL70" s="194"/>
      <c r="AM70" s="48"/>
      <c r="AN70" s="48"/>
      <c r="AO70" s="48"/>
      <c r="AP70" s="194"/>
      <c r="AQ70" s="194"/>
      <c r="AR70" s="194"/>
      <c r="AS70" s="194"/>
      <c r="AT70" s="194"/>
      <c r="AU70" s="194"/>
      <c r="AV70" s="194"/>
      <c r="AW70" s="194"/>
      <c r="AX70" s="194"/>
      <c r="AY70" s="194"/>
      <c r="AZ70" s="194"/>
      <c r="BA70" s="194"/>
      <c r="BB70" s="194"/>
      <c r="BC70" s="194"/>
      <c r="BD70" s="194"/>
      <c r="BE70" s="194"/>
      <c r="BF70" s="194"/>
      <c r="BG70" s="194"/>
      <c r="BH70" s="194"/>
      <c r="BI70" s="194"/>
      <c r="BJ70" s="194"/>
      <c r="BK70" s="194"/>
      <c r="BL70" s="194"/>
      <c r="BM70" s="194"/>
      <c r="BN70" s="194"/>
      <c r="BO70" s="194"/>
      <c r="BP70" s="194"/>
      <c r="BQ70" s="194"/>
      <c r="BR70" s="194"/>
      <c r="BS70" s="194"/>
      <c r="BT70" s="194"/>
      <c r="BU70" s="194"/>
      <c r="BV70" s="194"/>
      <c r="BW70" s="194"/>
      <c r="BX70" s="194"/>
      <c r="BY70" s="194"/>
      <c r="BZ70" s="194"/>
      <c r="CA70" s="194"/>
      <c r="CB70" s="194"/>
      <c r="CC70" s="194"/>
      <c r="CD70" s="194"/>
      <c r="CE70" s="194"/>
      <c r="CF70" s="194"/>
      <c r="CG70" s="194"/>
      <c r="CH70" s="194"/>
      <c r="CI70" s="194"/>
      <c r="CJ70" s="194"/>
      <c r="CK70" s="194"/>
      <c r="CL70" s="194"/>
      <c r="CM70" s="194"/>
      <c r="CN70" s="194"/>
      <c r="CO70" s="194"/>
      <c r="CP70" s="48"/>
      <c r="CQ70" s="194"/>
      <c r="CR70" s="194"/>
      <c r="CS70" s="194"/>
      <c r="CT70" s="194"/>
      <c r="CU70" s="194"/>
      <c r="CV70" s="194"/>
      <c r="CW70" s="194"/>
      <c r="CX70" s="194"/>
      <c r="CY70" s="194"/>
      <c r="CZ70" s="194"/>
      <c r="DA70" s="194"/>
      <c r="DB70" s="194"/>
      <c r="DC70" s="194"/>
      <c r="DD70" s="196"/>
      <c r="DE70" s="194"/>
      <c r="DF70" s="194"/>
      <c r="DG70" s="196"/>
      <c r="DH70" s="196"/>
      <c r="DI70" s="196"/>
      <c r="DJ70" s="194"/>
      <c r="DK70" s="194"/>
      <c r="DL70" s="194"/>
      <c r="DM70" s="194"/>
      <c r="DN70" s="194"/>
      <c r="DO70" s="194"/>
      <c r="DP70" s="194"/>
      <c r="DQ70" s="196"/>
      <c r="DR70" s="194"/>
      <c r="DS70" s="196"/>
      <c r="DT70" s="194"/>
      <c r="DU70" s="194"/>
      <c r="DV70" s="194"/>
      <c r="DW70" s="194"/>
      <c r="DX70" s="194"/>
      <c r="DY70" s="194"/>
      <c r="DZ70" s="194"/>
      <c r="EA70" s="194"/>
      <c r="EB70" s="194"/>
      <c r="EC70" s="194"/>
      <c r="ED70" s="194"/>
      <c r="EE70" s="194"/>
      <c r="EF70" s="194"/>
      <c r="EG70" s="194"/>
      <c r="EH70" s="194"/>
      <c r="EI70" s="194"/>
      <c r="EJ70" s="194"/>
      <c r="EK70" s="196"/>
      <c r="EL70" s="196"/>
      <c r="EM70" s="48"/>
      <c r="EN70" s="55"/>
      <c r="EO70" s="48"/>
      <c r="EP70" s="48"/>
      <c r="EQ70" s="196"/>
      <c r="ER70" s="194"/>
      <c r="ES70" s="48"/>
      <c r="ET70" s="194"/>
      <c r="EU70" s="194"/>
      <c r="EV70" s="194"/>
      <c r="EW70" s="211" t="s">
        <v>3903</v>
      </c>
      <c r="EX70" s="211" t="s">
        <v>3973</v>
      </c>
      <c r="EY70" s="211" t="s">
        <v>4035</v>
      </c>
      <c r="EZ70" s="211" t="s">
        <v>4097</v>
      </c>
      <c r="FA70" s="211" t="s">
        <v>4159</v>
      </c>
      <c r="FB70" s="211" t="s">
        <v>4223</v>
      </c>
      <c r="FC70" s="211" t="s">
        <v>4284</v>
      </c>
      <c r="FD70" s="211" t="s">
        <v>4345</v>
      </c>
      <c r="FE70" s="211" t="s">
        <v>4406</v>
      </c>
      <c r="FF70" s="194"/>
      <c r="FG70" s="194"/>
      <c r="FH70" s="194"/>
      <c r="FI70" s="194"/>
      <c r="FJ70" s="55"/>
      <c r="FK70" s="194"/>
      <c r="FL70" s="197"/>
      <c r="FM70" s="194"/>
      <c r="FN70" s="198"/>
      <c r="FO70" s="194"/>
      <c r="FP70" s="198"/>
      <c r="FQ70" s="194"/>
      <c r="FR70" s="43"/>
      <c r="FS70" s="194"/>
      <c r="FT70" s="194"/>
      <c r="FU70" s="194"/>
      <c r="FV70" s="199"/>
      <c r="FW70" s="194"/>
      <c r="FX70" s="200"/>
    </row>
    <row r="71" spans="1:180" ht="15" customHeight="1" x14ac:dyDescent="0.2">
      <c r="A71" s="148" t="s">
        <v>624</v>
      </c>
      <c r="B71" s="189" t="s">
        <v>2871</v>
      </c>
      <c r="C71" s="189" t="s">
        <v>2958</v>
      </c>
      <c r="D71" s="211" t="s">
        <v>3215</v>
      </c>
      <c r="E71" s="53" t="s">
        <v>24</v>
      </c>
      <c r="F71" s="213" t="s">
        <v>407</v>
      </c>
      <c r="G71" s="53"/>
      <c r="H71" s="211" t="s">
        <v>3313</v>
      </c>
      <c r="I71" s="211" t="s">
        <v>3413</v>
      </c>
      <c r="J71" s="211" t="s">
        <v>870</v>
      </c>
      <c r="K71" s="190"/>
      <c r="L71" s="189">
        <v>5</v>
      </c>
      <c r="M71" s="211" t="s">
        <v>3524</v>
      </c>
      <c r="N71" s="211" t="s">
        <v>3624</v>
      </c>
      <c r="O71" s="189" t="s">
        <v>292</v>
      </c>
      <c r="P71" s="189" t="s">
        <v>293</v>
      </c>
      <c r="Q71" s="211">
        <v>27070</v>
      </c>
      <c r="R71" s="189" t="s">
        <v>294</v>
      </c>
      <c r="S71" s="189" t="s">
        <v>3058</v>
      </c>
      <c r="T71" s="189" t="s">
        <v>3128</v>
      </c>
      <c r="U71" s="211">
        <v>6</v>
      </c>
      <c r="V71" s="211" t="s">
        <v>296</v>
      </c>
      <c r="W71" s="211" t="s">
        <v>3716</v>
      </c>
      <c r="X71" s="53"/>
      <c r="Y71" s="211">
        <v>1</v>
      </c>
      <c r="Z71" s="48" t="s">
        <v>535</v>
      </c>
      <c r="AA71" s="189" t="s">
        <v>3143</v>
      </c>
      <c r="AB71" s="189" t="s">
        <v>410</v>
      </c>
      <c r="AC71" s="211" t="s">
        <v>3817</v>
      </c>
      <c r="AD71" s="164" t="b">
        <v>0</v>
      </c>
      <c r="AE71" s="192"/>
      <c r="AF71" s="193"/>
      <c r="AG71" s="193"/>
      <c r="AH71" s="193"/>
      <c r="AI71" s="193"/>
      <c r="AJ71" s="193"/>
      <c r="AK71" s="193"/>
      <c r="AL71" s="194"/>
      <c r="AM71" s="48"/>
      <c r="AN71" s="48"/>
      <c r="AO71" s="48"/>
      <c r="AP71" s="194"/>
      <c r="AQ71" s="194"/>
      <c r="AR71" s="194"/>
      <c r="AS71" s="194"/>
      <c r="AT71" s="194"/>
      <c r="AU71" s="194"/>
      <c r="AV71" s="194"/>
      <c r="AW71" s="194"/>
      <c r="AX71" s="194"/>
      <c r="AY71" s="194"/>
      <c r="AZ71" s="194"/>
      <c r="BA71" s="194"/>
      <c r="BB71" s="194"/>
      <c r="BC71" s="194"/>
      <c r="BD71" s="194"/>
      <c r="BE71" s="194"/>
      <c r="BF71" s="194"/>
      <c r="BG71" s="194"/>
      <c r="BH71" s="194"/>
      <c r="BI71" s="194"/>
      <c r="BJ71" s="194"/>
      <c r="BK71" s="194"/>
      <c r="BL71" s="194"/>
      <c r="BM71" s="194"/>
      <c r="BN71" s="194"/>
      <c r="BO71" s="194"/>
      <c r="BP71" s="194"/>
      <c r="BQ71" s="194"/>
      <c r="BR71" s="194"/>
      <c r="BS71" s="194"/>
      <c r="BT71" s="194"/>
      <c r="BU71" s="194"/>
      <c r="BV71" s="194"/>
      <c r="BW71" s="194"/>
      <c r="BX71" s="194"/>
      <c r="BY71" s="194"/>
      <c r="BZ71" s="194"/>
      <c r="CA71" s="194"/>
      <c r="CB71" s="194"/>
      <c r="CC71" s="194"/>
      <c r="CD71" s="194"/>
      <c r="CE71" s="194"/>
      <c r="CF71" s="194"/>
      <c r="CG71" s="194"/>
      <c r="CH71" s="194"/>
      <c r="CI71" s="194"/>
      <c r="CJ71" s="194"/>
      <c r="CK71" s="194"/>
      <c r="CL71" s="194"/>
      <c r="CM71" s="194"/>
      <c r="CN71" s="194"/>
      <c r="CO71" s="194"/>
      <c r="CP71" s="48"/>
      <c r="CQ71" s="194"/>
      <c r="CR71" s="194"/>
      <c r="CS71" s="194"/>
      <c r="CT71" s="194"/>
      <c r="CU71" s="194"/>
      <c r="CV71" s="194"/>
      <c r="CW71" s="194"/>
      <c r="CX71" s="194"/>
      <c r="CY71" s="194"/>
      <c r="CZ71" s="194"/>
      <c r="DA71" s="194"/>
      <c r="DB71" s="194"/>
      <c r="DC71" s="194"/>
      <c r="DD71" s="196"/>
      <c r="DE71" s="194"/>
      <c r="DF71" s="194"/>
      <c r="DG71" s="196"/>
      <c r="DH71" s="196"/>
      <c r="DI71" s="196"/>
      <c r="DJ71" s="194"/>
      <c r="DK71" s="194"/>
      <c r="DL71" s="194"/>
      <c r="DM71" s="194"/>
      <c r="DN71" s="194"/>
      <c r="DO71" s="194"/>
      <c r="DP71" s="194"/>
      <c r="DQ71" s="196"/>
      <c r="DR71" s="194"/>
      <c r="DS71" s="196"/>
      <c r="DT71" s="194"/>
      <c r="DU71" s="194"/>
      <c r="DV71" s="194"/>
      <c r="DW71" s="194"/>
      <c r="DX71" s="194"/>
      <c r="DY71" s="194"/>
      <c r="DZ71" s="194"/>
      <c r="EA71" s="194"/>
      <c r="EB71" s="194"/>
      <c r="EC71" s="194"/>
      <c r="ED71" s="194"/>
      <c r="EE71" s="194"/>
      <c r="EF71" s="194"/>
      <c r="EG71" s="194"/>
      <c r="EH71" s="194"/>
      <c r="EI71" s="194"/>
      <c r="EJ71" s="194"/>
      <c r="EK71" s="196"/>
      <c r="EL71" s="196"/>
      <c r="EM71" s="48"/>
      <c r="EN71" s="55"/>
      <c r="EO71" s="48"/>
      <c r="EP71" s="48"/>
      <c r="EQ71" s="196"/>
      <c r="ER71" s="194"/>
      <c r="ES71" s="48"/>
      <c r="ET71" s="194"/>
      <c r="EU71" s="194"/>
      <c r="EV71" s="194"/>
      <c r="EW71" s="211" t="s">
        <v>3904</v>
      </c>
      <c r="EX71" s="211" t="s">
        <v>3974</v>
      </c>
      <c r="EY71" s="211" t="s">
        <v>4036</v>
      </c>
      <c r="EZ71" s="211" t="s">
        <v>4098</v>
      </c>
      <c r="FA71" s="211" t="s">
        <v>4160</v>
      </c>
      <c r="FB71" s="211" t="s">
        <v>4224</v>
      </c>
      <c r="FC71" s="211" t="s">
        <v>4285</v>
      </c>
      <c r="FD71" s="211" t="s">
        <v>4346</v>
      </c>
      <c r="FE71" s="211" t="s">
        <v>4407</v>
      </c>
      <c r="FF71" s="194"/>
      <c r="FG71" s="194"/>
      <c r="FH71" s="194"/>
      <c r="FI71" s="194"/>
      <c r="FJ71" s="55"/>
      <c r="FK71" s="194"/>
      <c r="FL71" s="197"/>
      <c r="FM71" s="194"/>
      <c r="FN71" s="198"/>
      <c r="FO71" s="194"/>
      <c r="FP71" s="198"/>
      <c r="FQ71" s="194"/>
      <c r="FR71" s="43"/>
      <c r="FS71" s="194"/>
      <c r="FT71" s="194"/>
      <c r="FU71" s="194"/>
      <c r="FV71" s="199"/>
      <c r="FW71" s="194"/>
      <c r="FX71" s="200"/>
    </row>
    <row r="72" spans="1:180" ht="15" customHeight="1" x14ac:dyDescent="0.2">
      <c r="A72" s="158" t="s">
        <v>289</v>
      </c>
      <c r="B72" s="189" t="s">
        <v>2872</v>
      </c>
      <c r="C72" s="189" t="s">
        <v>2959</v>
      </c>
      <c r="D72" s="211" t="s">
        <v>3216</v>
      </c>
      <c r="E72" s="53" t="s">
        <v>698</v>
      </c>
      <c r="F72" s="212" t="s">
        <v>24</v>
      </c>
      <c r="G72" s="53"/>
      <c r="H72" s="211" t="s">
        <v>3314</v>
      </c>
      <c r="I72" s="211" t="s">
        <v>3414</v>
      </c>
      <c r="J72" s="211" t="s">
        <v>3443</v>
      </c>
      <c r="K72" s="211" t="s">
        <v>3451</v>
      </c>
      <c r="L72" s="189">
        <v>1</v>
      </c>
      <c r="M72" s="211" t="s">
        <v>3525</v>
      </c>
      <c r="N72" s="211" t="s">
        <v>3625</v>
      </c>
      <c r="O72" s="189" t="s">
        <v>292</v>
      </c>
      <c r="P72" s="189" t="s">
        <v>293</v>
      </c>
      <c r="Q72" s="211">
        <v>27071</v>
      </c>
      <c r="R72" s="189" t="s">
        <v>294</v>
      </c>
      <c r="S72" s="189" t="s">
        <v>3059</v>
      </c>
      <c r="T72" s="189" t="s">
        <v>3119</v>
      </c>
      <c r="U72" s="211">
        <v>16</v>
      </c>
      <c r="V72" s="211" t="s">
        <v>296</v>
      </c>
      <c r="W72" s="211" t="s">
        <v>3717</v>
      </c>
      <c r="X72" s="53"/>
      <c r="Y72" s="211">
        <v>1</v>
      </c>
      <c r="Z72" s="53" t="s">
        <v>535</v>
      </c>
      <c r="AA72" s="189" t="s">
        <v>299</v>
      </c>
      <c r="AB72" s="189" t="s">
        <v>3145</v>
      </c>
      <c r="AC72" s="211" t="s">
        <v>3818</v>
      </c>
      <c r="AD72" s="164" t="b">
        <v>0</v>
      </c>
      <c r="AE72" s="192"/>
      <c r="AF72" s="193"/>
      <c r="AG72" s="193"/>
      <c r="AH72" s="193"/>
      <c r="AI72" s="193"/>
      <c r="AJ72" s="193"/>
      <c r="AK72" s="193"/>
      <c r="AL72" s="194"/>
      <c r="AM72" s="48"/>
      <c r="AN72" s="48"/>
      <c r="AO72" s="48"/>
      <c r="AP72" s="194"/>
      <c r="AQ72" s="194"/>
      <c r="AR72" s="194"/>
      <c r="AS72" s="194"/>
      <c r="AT72" s="194"/>
      <c r="AU72" s="194"/>
      <c r="AV72" s="194"/>
      <c r="AW72" s="194"/>
      <c r="AX72" s="194"/>
      <c r="AY72" s="194"/>
      <c r="AZ72" s="194"/>
      <c r="BA72" s="194"/>
      <c r="BB72" s="194"/>
      <c r="BC72" s="194"/>
      <c r="BD72" s="194"/>
      <c r="BE72" s="194"/>
      <c r="BF72" s="194"/>
      <c r="BG72" s="194"/>
      <c r="BH72" s="194"/>
      <c r="BI72" s="194"/>
      <c r="BJ72" s="194"/>
      <c r="BK72" s="194"/>
      <c r="BL72" s="194"/>
      <c r="BM72" s="194"/>
      <c r="BN72" s="194"/>
      <c r="BO72" s="194"/>
      <c r="BP72" s="194"/>
      <c r="BQ72" s="194"/>
      <c r="BR72" s="194"/>
      <c r="BS72" s="194"/>
      <c r="BT72" s="194"/>
      <c r="BU72" s="194"/>
      <c r="BV72" s="194"/>
      <c r="BW72" s="194"/>
      <c r="BX72" s="194"/>
      <c r="BY72" s="194"/>
      <c r="BZ72" s="194"/>
      <c r="CA72" s="194"/>
      <c r="CB72" s="194"/>
      <c r="CC72" s="194"/>
      <c r="CD72" s="194"/>
      <c r="CE72" s="194"/>
      <c r="CF72" s="194"/>
      <c r="CG72" s="194"/>
      <c r="CH72" s="194"/>
      <c r="CI72" s="194"/>
      <c r="CJ72" s="194"/>
      <c r="CK72" s="194"/>
      <c r="CL72" s="194"/>
      <c r="CM72" s="194"/>
      <c r="CN72" s="194"/>
      <c r="CO72" s="194"/>
      <c r="CP72" s="48"/>
      <c r="CQ72" s="194"/>
      <c r="CR72" s="194"/>
      <c r="CS72" s="194"/>
      <c r="CT72" s="194"/>
      <c r="CU72" s="194"/>
      <c r="CV72" s="194"/>
      <c r="CW72" s="194"/>
      <c r="CX72" s="194"/>
      <c r="CY72" s="194"/>
      <c r="CZ72" s="194"/>
      <c r="DA72" s="194"/>
      <c r="DB72" s="194"/>
      <c r="DC72" s="194"/>
      <c r="DD72" s="196"/>
      <c r="DE72" s="194"/>
      <c r="DF72" s="194"/>
      <c r="DG72" s="196"/>
      <c r="DH72" s="196"/>
      <c r="DI72" s="196"/>
      <c r="DJ72" s="194"/>
      <c r="DK72" s="194"/>
      <c r="DL72" s="194"/>
      <c r="DM72" s="194"/>
      <c r="DN72" s="194"/>
      <c r="DO72" s="194"/>
      <c r="DP72" s="194"/>
      <c r="DQ72" s="196"/>
      <c r="DR72" s="194"/>
      <c r="DS72" s="196"/>
      <c r="DT72" s="194"/>
      <c r="DU72" s="194"/>
      <c r="DV72" s="194"/>
      <c r="DW72" s="194"/>
      <c r="DX72" s="194"/>
      <c r="DY72" s="194"/>
      <c r="DZ72" s="194"/>
      <c r="EA72" s="194"/>
      <c r="EB72" s="194"/>
      <c r="EC72" s="194"/>
      <c r="ED72" s="194"/>
      <c r="EE72" s="194"/>
      <c r="EF72" s="194"/>
      <c r="EG72" s="194"/>
      <c r="EH72" s="194"/>
      <c r="EI72" s="194"/>
      <c r="EJ72" s="194"/>
      <c r="EK72" s="196"/>
      <c r="EL72" s="196"/>
      <c r="EM72" s="48"/>
      <c r="EN72" s="55"/>
      <c r="EO72" s="48"/>
      <c r="EP72" s="48"/>
      <c r="EQ72" s="196"/>
      <c r="ER72" s="194"/>
      <c r="ES72" s="48"/>
      <c r="ET72" s="194"/>
      <c r="EU72" s="194"/>
      <c r="EV72" s="194"/>
      <c r="EW72" s="211" t="s">
        <v>3905</v>
      </c>
      <c r="EX72" s="211" t="s">
        <v>3975</v>
      </c>
      <c r="EY72" s="211" t="s">
        <v>4037</v>
      </c>
      <c r="EZ72" s="211" t="s">
        <v>4099</v>
      </c>
      <c r="FA72" s="211" t="s">
        <v>4161</v>
      </c>
      <c r="FB72" s="211" t="s">
        <v>4225</v>
      </c>
      <c r="FC72" s="211" t="s">
        <v>4286</v>
      </c>
      <c r="FD72" s="211" t="s">
        <v>4347</v>
      </c>
      <c r="FE72" s="211" t="s">
        <v>4408</v>
      </c>
      <c r="FF72" s="194"/>
      <c r="FG72" s="194"/>
      <c r="FH72" s="194"/>
      <c r="FI72" s="194"/>
      <c r="FJ72" s="55"/>
      <c r="FK72" s="194"/>
      <c r="FL72" s="197"/>
      <c r="FM72" s="194"/>
      <c r="FN72" s="198"/>
      <c r="FO72" s="194"/>
      <c r="FP72" s="198"/>
      <c r="FQ72" s="194"/>
      <c r="FR72" s="43"/>
      <c r="FS72" s="194"/>
      <c r="FT72" s="194"/>
      <c r="FU72" s="194"/>
      <c r="FV72" s="199"/>
      <c r="FW72" s="194"/>
      <c r="FX72" s="200"/>
    </row>
    <row r="73" spans="1:180" ht="15" customHeight="1" x14ac:dyDescent="0.2">
      <c r="A73" s="180" t="s">
        <v>624</v>
      </c>
      <c r="B73" s="189" t="s">
        <v>2835</v>
      </c>
      <c r="C73" s="189" t="s">
        <v>2960</v>
      </c>
      <c r="D73" s="211" t="s">
        <v>3217</v>
      </c>
      <c r="E73" s="70" t="s">
        <v>24</v>
      </c>
      <c r="F73" s="213" t="s">
        <v>407</v>
      </c>
      <c r="G73" s="53"/>
      <c r="H73" s="211" t="s">
        <v>3315</v>
      </c>
      <c r="I73" s="211" t="s">
        <v>3415</v>
      </c>
      <c r="J73" s="211" t="s">
        <v>24</v>
      </c>
      <c r="K73" s="190"/>
      <c r="L73" s="189">
        <v>6</v>
      </c>
      <c r="M73" s="211" t="s">
        <v>3526</v>
      </c>
      <c r="N73" s="211" t="s">
        <v>3626</v>
      </c>
      <c r="O73" s="189" t="s">
        <v>292</v>
      </c>
      <c r="P73" s="189" t="s">
        <v>293</v>
      </c>
      <c r="Q73" s="211">
        <v>27072</v>
      </c>
      <c r="R73" s="189" t="s">
        <v>294</v>
      </c>
      <c r="S73" s="189" t="s">
        <v>3060</v>
      </c>
      <c r="T73" s="189" t="s">
        <v>3129</v>
      </c>
      <c r="U73" s="211">
        <v>10</v>
      </c>
      <c r="V73" s="211" t="s">
        <v>296</v>
      </c>
      <c r="W73" s="211" t="s">
        <v>3718</v>
      </c>
      <c r="X73" s="53"/>
      <c r="Y73" s="211">
        <v>1</v>
      </c>
      <c r="Z73" s="53" t="s">
        <v>535</v>
      </c>
      <c r="AA73" s="189" t="s">
        <v>3142</v>
      </c>
      <c r="AB73" s="189" t="s">
        <v>3144</v>
      </c>
      <c r="AC73" s="211" t="s">
        <v>3819</v>
      </c>
      <c r="AD73" s="164" t="b">
        <v>0</v>
      </c>
      <c r="AE73" s="192"/>
      <c r="AF73" s="193"/>
      <c r="AG73" s="193"/>
      <c r="AH73" s="193"/>
      <c r="AI73" s="193"/>
      <c r="AJ73" s="193"/>
      <c r="AK73" s="193"/>
      <c r="AL73" s="194"/>
      <c r="AM73" s="48"/>
      <c r="AN73" s="48"/>
      <c r="AO73" s="48"/>
      <c r="AP73" s="194"/>
      <c r="AQ73" s="194"/>
      <c r="AR73" s="194"/>
      <c r="AS73" s="194"/>
      <c r="AT73" s="194"/>
      <c r="AU73" s="194"/>
      <c r="AV73" s="194"/>
      <c r="AW73" s="194"/>
      <c r="AX73" s="194"/>
      <c r="AY73" s="194"/>
      <c r="AZ73" s="194"/>
      <c r="BA73" s="194"/>
      <c r="BB73" s="194"/>
      <c r="BC73" s="194"/>
      <c r="BD73" s="194"/>
      <c r="BE73" s="194"/>
      <c r="BF73" s="194"/>
      <c r="BG73" s="194"/>
      <c r="BH73" s="194"/>
      <c r="BI73" s="194"/>
      <c r="BJ73" s="194"/>
      <c r="BK73" s="194"/>
      <c r="BL73" s="194"/>
      <c r="BM73" s="194"/>
      <c r="BN73" s="194"/>
      <c r="BO73" s="194"/>
      <c r="BP73" s="194"/>
      <c r="BQ73" s="194"/>
      <c r="BR73" s="194"/>
      <c r="BS73" s="194"/>
      <c r="BT73" s="194"/>
      <c r="BU73" s="194"/>
      <c r="BV73" s="194"/>
      <c r="BW73" s="194"/>
      <c r="BX73" s="194"/>
      <c r="BY73" s="194"/>
      <c r="BZ73" s="194"/>
      <c r="CA73" s="194"/>
      <c r="CB73" s="194"/>
      <c r="CC73" s="194"/>
      <c r="CD73" s="194"/>
      <c r="CE73" s="194"/>
      <c r="CF73" s="194"/>
      <c r="CG73" s="194"/>
      <c r="CH73" s="194"/>
      <c r="CI73" s="194"/>
      <c r="CJ73" s="194"/>
      <c r="CK73" s="194"/>
      <c r="CL73" s="194"/>
      <c r="CM73" s="194"/>
      <c r="CN73" s="194"/>
      <c r="CO73" s="194"/>
      <c r="CP73" s="48"/>
      <c r="CQ73" s="194"/>
      <c r="CR73" s="194"/>
      <c r="CS73" s="194"/>
      <c r="CT73" s="194"/>
      <c r="CU73" s="194"/>
      <c r="CV73" s="194"/>
      <c r="CW73" s="194"/>
      <c r="CX73" s="194"/>
      <c r="CY73" s="194"/>
      <c r="CZ73" s="194"/>
      <c r="DA73" s="194"/>
      <c r="DB73" s="194"/>
      <c r="DC73" s="194"/>
      <c r="DD73" s="196"/>
      <c r="DE73" s="194"/>
      <c r="DF73" s="194"/>
      <c r="DG73" s="196"/>
      <c r="DH73" s="196"/>
      <c r="DI73" s="196"/>
      <c r="DJ73" s="194"/>
      <c r="DK73" s="194"/>
      <c r="DL73" s="194"/>
      <c r="DM73" s="194"/>
      <c r="DN73" s="194"/>
      <c r="DO73" s="194"/>
      <c r="DP73" s="194"/>
      <c r="DQ73" s="196"/>
      <c r="DR73" s="194"/>
      <c r="DS73" s="196"/>
      <c r="DT73" s="194"/>
      <c r="DU73" s="194"/>
      <c r="DV73" s="194"/>
      <c r="DW73" s="194"/>
      <c r="DX73" s="194"/>
      <c r="DY73" s="194"/>
      <c r="DZ73" s="194"/>
      <c r="EA73" s="194"/>
      <c r="EB73" s="194"/>
      <c r="EC73" s="194"/>
      <c r="ED73" s="194"/>
      <c r="EE73" s="194"/>
      <c r="EF73" s="194"/>
      <c r="EG73" s="194"/>
      <c r="EH73" s="194"/>
      <c r="EI73" s="194"/>
      <c r="EJ73" s="194"/>
      <c r="EK73" s="196"/>
      <c r="EL73" s="196"/>
      <c r="EM73" s="48"/>
      <c r="EN73" s="55"/>
      <c r="EO73" s="48"/>
      <c r="EP73" s="48"/>
      <c r="EQ73" s="196"/>
      <c r="ER73" s="194"/>
      <c r="ES73" s="48"/>
      <c r="ET73" s="194"/>
      <c r="EU73" s="194"/>
      <c r="EV73" s="194"/>
      <c r="EW73" s="211" t="s">
        <v>3862</v>
      </c>
      <c r="EX73" s="211" t="s">
        <v>3934</v>
      </c>
      <c r="EY73" s="211" t="s">
        <v>3996</v>
      </c>
      <c r="EZ73" s="211" t="s">
        <v>4058</v>
      </c>
      <c r="FA73" s="211" t="s">
        <v>4120</v>
      </c>
      <c r="FB73" s="211" t="s">
        <v>4184</v>
      </c>
      <c r="FC73" s="211" t="s">
        <v>4245</v>
      </c>
      <c r="FD73" s="211" t="s">
        <v>4306</v>
      </c>
      <c r="FE73" s="211" t="s">
        <v>4367</v>
      </c>
      <c r="FF73" s="194"/>
      <c r="FG73" s="194"/>
      <c r="FH73" s="194"/>
      <c r="FI73" s="194"/>
      <c r="FJ73" s="55"/>
      <c r="FK73" s="194"/>
      <c r="FL73" s="197"/>
      <c r="FM73" s="194"/>
      <c r="FN73" s="198"/>
      <c r="FO73" s="194"/>
      <c r="FP73" s="198"/>
      <c r="FQ73" s="194"/>
      <c r="FR73" s="43"/>
      <c r="FS73" s="194"/>
      <c r="FT73" s="194"/>
      <c r="FU73" s="194"/>
      <c r="FV73" s="199"/>
      <c r="FW73" s="194"/>
      <c r="FX73" s="200"/>
    </row>
    <row r="74" spans="1:180" ht="15" customHeight="1" x14ac:dyDescent="0.2">
      <c r="A74" s="182" t="s">
        <v>624</v>
      </c>
      <c r="B74" s="189" t="s">
        <v>2817</v>
      </c>
      <c r="C74" s="189" t="s">
        <v>2961</v>
      </c>
      <c r="D74" s="211" t="s">
        <v>3218</v>
      </c>
      <c r="E74" s="53" t="s">
        <v>472</v>
      </c>
      <c r="F74" s="212" t="s">
        <v>24</v>
      </c>
      <c r="G74" s="53"/>
      <c r="H74" s="211" t="s">
        <v>3316</v>
      </c>
      <c r="I74" s="211" t="s">
        <v>3416</v>
      </c>
      <c r="J74" s="211" t="s">
        <v>472</v>
      </c>
      <c r="K74" s="190"/>
      <c r="L74" s="189">
        <v>5</v>
      </c>
      <c r="M74" s="211" t="s">
        <v>3527</v>
      </c>
      <c r="N74" s="211" t="s">
        <v>3627</v>
      </c>
      <c r="O74" s="189" t="s">
        <v>292</v>
      </c>
      <c r="P74" s="189" t="s">
        <v>293</v>
      </c>
      <c r="Q74" s="211">
        <v>27073</v>
      </c>
      <c r="R74" s="189" t="s">
        <v>294</v>
      </c>
      <c r="S74" s="189" t="s">
        <v>3061</v>
      </c>
      <c r="T74" s="189" t="s">
        <v>3113</v>
      </c>
      <c r="U74" s="211">
        <v>8</v>
      </c>
      <c r="V74" s="211" t="s">
        <v>296</v>
      </c>
      <c r="W74" s="211" t="s">
        <v>3719</v>
      </c>
      <c r="X74" s="53"/>
      <c r="Y74" s="211">
        <v>1</v>
      </c>
      <c r="Z74" s="53" t="s">
        <v>298</v>
      </c>
      <c r="AA74" s="189" t="s">
        <v>3142</v>
      </c>
      <c r="AB74" s="189" t="s">
        <v>3144</v>
      </c>
      <c r="AC74" s="211" t="s">
        <v>3820</v>
      </c>
      <c r="AD74" s="164" t="b">
        <v>1</v>
      </c>
      <c r="AE74" s="192"/>
      <c r="AF74" s="193"/>
      <c r="AG74" s="193"/>
      <c r="AH74" s="193"/>
      <c r="AI74" s="193"/>
      <c r="AJ74" s="193"/>
      <c r="AK74" s="193"/>
      <c r="AL74" s="194"/>
      <c r="AM74" s="48"/>
      <c r="AN74" s="48"/>
      <c r="AO74" s="48"/>
      <c r="AP74" s="194"/>
      <c r="AQ74" s="194"/>
      <c r="AR74" s="194"/>
      <c r="AS74" s="194"/>
      <c r="AT74" s="194"/>
      <c r="AU74" s="194"/>
      <c r="AV74" s="194"/>
      <c r="AW74" s="194"/>
      <c r="AX74" s="194"/>
      <c r="AY74" s="194"/>
      <c r="AZ74" s="194"/>
      <c r="BA74" s="194"/>
      <c r="BB74" s="194"/>
      <c r="BC74" s="194"/>
      <c r="BD74" s="194"/>
      <c r="BE74" s="194"/>
      <c r="BF74" s="194"/>
      <c r="BG74" s="194"/>
      <c r="BH74" s="194"/>
      <c r="BI74" s="194"/>
      <c r="BJ74" s="194"/>
      <c r="BK74" s="194"/>
      <c r="BL74" s="194"/>
      <c r="BM74" s="194"/>
      <c r="BN74" s="194"/>
      <c r="BO74" s="194"/>
      <c r="BP74" s="194"/>
      <c r="BQ74" s="194"/>
      <c r="BR74" s="194"/>
      <c r="BS74" s="194"/>
      <c r="BT74" s="194"/>
      <c r="BU74" s="194"/>
      <c r="BV74" s="194"/>
      <c r="BW74" s="194"/>
      <c r="BX74" s="194"/>
      <c r="BY74" s="194"/>
      <c r="BZ74" s="194"/>
      <c r="CA74" s="194"/>
      <c r="CB74" s="194"/>
      <c r="CC74" s="194"/>
      <c r="CD74" s="194"/>
      <c r="CE74" s="194"/>
      <c r="CF74" s="194"/>
      <c r="CG74" s="194"/>
      <c r="CH74" s="194"/>
      <c r="CI74" s="194"/>
      <c r="CJ74" s="194"/>
      <c r="CK74" s="194"/>
      <c r="CL74" s="194"/>
      <c r="CM74" s="194"/>
      <c r="CN74" s="194"/>
      <c r="CO74" s="194"/>
      <c r="CP74" s="48"/>
      <c r="CQ74" s="194"/>
      <c r="CR74" s="194"/>
      <c r="CS74" s="194"/>
      <c r="CT74" s="194"/>
      <c r="CU74" s="194"/>
      <c r="CV74" s="194"/>
      <c r="CW74" s="194"/>
      <c r="CX74" s="194"/>
      <c r="CY74" s="194"/>
      <c r="CZ74" s="194"/>
      <c r="DA74" s="194"/>
      <c r="DB74" s="194"/>
      <c r="DC74" s="194"/>
      <c r="DD74" s="196"/>
      <c r="DE74" s="194"/>
      <c r="DF74" s="194"/>
      <c r="DG74" s="196"/>
      <c r="DH74" s="196"/>
      <c r="DI74" s="196"/>
      <c r="DJ74" s="194"/>
      <c r="DK74" s="194"/>
      <c r="DL74" s="194"/>
      <c r="DM74" s="194"/>
      <c r="DN74" s="194"/>
      <c r="DO74" s="194"/>
      <c r="DP74" s="194"/>
      <c r="DQ74" s="196"/>
      <c r="DR74" s="194"/>
      <c r="DS74" s="196"/>
      <c r="DT74" s="194"/>
      <c r="DU74" s="194"/>
      <c r="DV74" s="194"/>
      <c r="DW74" s="194"/>
      <c r="DX74" s="194"/>
      <c r="DY74" s="194"/>
      <c r="DZ74" s="194"/>
      <c r="EA74" s="194"/>
      <c r="EB74" s="194"/>
      <c r="EC74" s="194"/>
      <c r="ED74" s="194"/>
      <c r="EE74" s="194"/>
      <c r="EF74" s="194"/>
      <c r="EG74" s="194"/>
      <c r="EH74" s="194"/>
      <c r="EI74" s="194"/>
      <c r="EJ74" s="194"/>
      <c r="EK74" s="196"/>
      <c r="EL74" s="196"/>
      <c r="EM74" s="48"/>
      <c r="EN74" s="55"/>
      <c r="EO74" s="48"/>
      <c r="EP74" s="48"/>
      <c r="EQ74" s="196"/>
      <c r="ER74" s="194"/>
      <c r="ES74" s="48"/>
      <c r="ET74" s="194"/>
      <c r="EU74" s="194"/>
      <c r="EV74" s="194"/>
      <c r="EW74" s="211" t="s">
        <v>3906</v>
      </c>
      <c r="EX74" s="211" t="s">
        <v>3976</v>
      </c>
      <c r="EY74" s="211" t="s">
        <v>4038</v>
      </c>
      <c r="EZ74" s="211" t="s">
        <v>4100</v>
      </c>
      <c r="FA74" s="211" t="s">
        <v>4162</v>
      </c>
      <c r="FB74" s="211" t="s">
        <v>4226</v>
      </c>
      <c r="FC74" s="211" t="s">
        <v>4287</v>
      </c>
      <c r="FD74" s="211" t="s">
        <v>4348</v>
      </c>
      <c r="FE74" s="211" t="s">
        <v>4409</v>
      </c>
      <c r="FF74" s="194"/>
      <c r="FG74" s="194"/>
      <c r="FH74" s="194"/>
      <c r="FI74" s="194"/>
      <c r="FJ74" s="55"/>
      <c r="FK74" s="194"/>
      <c r="FL74" s="197"/>
      <c r="FM74" s="194"/>
      <c r="FN74" s="198"/>
      <c r="FO74" s="194"/>
      <c r="FP74" s="198"/>
      <c r="FQ74" s="194"/>
      <c r="FR74" s="43"/>
      <c r="FS74" s="194"/>
      <c r="FT74" s="194"/>
      <c r="FU74" s="194"/>
      <c r="FV74" s="199"/>
      <c r="FW74" s="194"/>
      <c r="FX74" s="200"/>
    </row>
    <row r="75" spans="1:180" ht="15" customHeight="1" x14ac:dyDescent="0.2">
      <c r="A75" s="155" t="s">
        <v>289</v>
      </c>
      <c r="B75" s="189" t="s">
        <v>2873</v>
      </c>
      <c r="C75" s="189" t="s">
        <v>2962</v>
      </c>
      <c r="D75" s="211" t="s">
        <v>3219</v>
      </c>
      <c r="E75" s="53" t="s">
        <v>24</v>
      </c>
      <c r="F75" s="214" t="s">
        <v>24</v>
      </c>
      <c r="G75" s="53"/>
      <c r="H75" s="211" t="s">
        <v>3317</v>
      </c>
      <c r="I75" s="211" t="s">
        <v>3417</v>
      </c>
      <c r="J75" s="211" t="s">
        <v>24</v>
      </c>
      <c r="K75" s="190"/>
      <c r="L75" s="189">
        <v>2</v>
      </c>
      <c r="M75" s="211" t="s">
        <v>3528</v>
      </c>
      <c r="N75" s="211" t="s">
        <v>3628</v>
      </c>
      <c r="O75" s="189" t="s">
        <v>292</v>
      </c>
      <c r="P75" s="189" t="s">
        <v>293</v>
      </c>
      <c r="Q75" s="211">
        <v>27074</v>
      </c>
      <c r="R75" s="189" t="s">
        <v>294</v>
      </c>
      <c r="S75" s="189" t="s">
        <v>3062</v>
      </c>
      <c r="T75" s="189" t="s">
        <v>3113</v>
      </c>
      <c r="U75" s="211">
        <v>7</v>
      </c>
      <c r="V75" s="211" t="s">
        <v>296</v>
      </c>
      <c r="W75" s="211" t="s">
        <v>3720</v>
      </c>
      <c r="X75" s="53" t="s">
        <v>24</v>
      </c>
      <c r="Y75" s="211">
        <v>2</v>
      </c>
      <c r="Z75" s="133" t="s">
        <v>298</v>
      </c>
      <c r="AA75" s="189" t="s">
        <v>3143</v>
      </c>
      <c r="AB75" s="189" t="s">
        <v>766</v>
      </c>
      <c r="AC75" s="211" t="s">
        <v>3821</v>
      </c>
      <c r="AD75" s="164" t="b">
        <v>0</v>
      </c>
      <c r="AE75" s="192"/>
      <c r="AF75" s="193"/>
      <c r="AG75" s="193"/>
      <c r="AH75" s="193"/>
      <c r="AI75" s="193"/>
      <c r="AJ75" s="193"/>
      <c r="AK75" s="193"/>
      <c r="AL75" s="194"/>
      <c r="AM75" s="48"/>
      <c r="AN75" s="48"/>
      <c r="AO75" s="48"/>
      <c r="AP75" s="194"/>
      <c r="AQ75" s="194"/>
      <c r="AR75" s="194"/>
      <c r="AS75" s="194"/>
      <c r="AT75" s="194"/>
      <c r="AU75" s="194"/>
      <c r="AV75" s="194"/>
      <c r="AW75" s="194"/>
      <c r="AX75" s="194"/>
      <c r="AY75" s="194"/>
      <c r="AZ75" s="194"/>
      <c r="BA75" s="194"/>
      <c r="BB75" s="194"/>
      <c r="BC75" s="194"/>
      <c r="BD75" s="194"/>
      <c r="BE75" s="194"/>
      <c r="BF75" s="194"/>
      <c r="BG75" s="194"/>
      <c r="BH75" s="194"/>
      <c r="BI75" s="194"/>
      <c r="BJ75" s="194"/>
      <c r="BK75" s="194"/>
      <c r="BL75" s="194"/>
      <c r="BM75" s="194"/>
      <c r="BN75" s="194"/>
      <c r="BO75" s="194"/>
      <c r="BP75" s="194"/>
      <c r="BQ75" s="194"/>
      <c r="BR75" s="194"/>
      <c r="BS75" s="194"/>
      <c r="BT75" s="194"/>
      <c r="BU75" s="194"/>
      <c r="BV75" s="194"/>
      <c r="BW75" s="194"/>
      <c r="BX75" s="194"/>
      <c r="BY75" s="194"/>
      <c r="BZ75" s="194"/>
      <c r="CA75" s="194"/>
      <c r="CB75" s="194"/>
      <c r="CC75" s="194"/>
      <c r="CD75" s="194"/>
      <c r="CE75" s="194"/>
      <c r="CF75" s="194"/>
      <c r="CG75" s="194"/>
      <c r="CH75" s="194"/>
      <c r="CI75" s="194"/>
      <c r="CJ75" s="194"/>
      <c r="CK75" s="194"/>
      <c r="CL75" s="194"/>
      <c r="CM75" s="194"/>
      <c r="CN75" s="194"/>
      <c r="CO75" s="194"/>
      <c r="CP75" s="48"/>
      <c r="CQ75" s="194"/>
      <c r="CR75" s="194"/>
      <c r="CS75" s="194"/>
      <c r="CT75" s="194"/>
      <c r="CU75" s="194"/>
      <c r="CV75" s="194"/>
      <c r="CW75" s="194"/>
      <c r="CX75" s="194"/>
      <c r="CY75" s="194"/>
      <c r="CZ75" s="194"/>
      <c r="DA75" s="194"/>
      <c r="DB75" s="194"/>
      <c r="DC75" s="194"/>
      <c r="DD75" s="196"/>
      <c r="DE75" s="194"/>
      <c r="DF75" s="194"/>
      <c r="DG75" s="196"/>
      <c r="DH75" s="196"/>
      <c r="DI75" s="196"/>
      <c r="DJ75" s="194"/>
      <c r="DK75" s="194"/>
      <c r="DL75" s="194"/>
      <c r="DM75" s="194"/>
      <c r="DN75" s="194"/>
      <c r="DO75" s="194"/>
      <c r="DP75" s="194"/>
      <c r="DQ75" s="196"/>
      <c r="DR75" s="194"/>
      <c r="DS75" s="196"/>
      <c r="DT75" s="194"/>
      <c r="DU75" s="194"/>
      <c r="DV75" s="194"/>
      <c r="DW75" s="194"/>
      <c r="DX75" s="194"/>
      <c r="DY75" s="194"/>
      <c r="DZ75" s="194"/>
      <c r="EA75" s="194"/>
      <c r="EB75" s="194"/>
      <c r="EC75" s="194"/>
      <c r="ED75" s="194"/>
      <c r="EE75" s="194"/>
      <c r="EF75" s="194"/>
      <c r="EG75" s="194"/>
      <c r="EH75" s="194"/>
      <c r="EI75" s="194"/>
      <c r="EJ75" s="194"/>
      <c r="EK75" s="196"/>
      <c r="EL75" s="196"/>
      <c r="EM75" s="48"/>
      <c r="EN75" s="55"/>
      <c r="EO75" s="48"/>
      <c r="EP75" s="48"/>
      <c r="EQ75" s="196"/>
      <c r="ER75" s="194"/>
      <c r="ES75" s="48"/>
      <c r="ET75" s="194"/>
      <c r="EU75" s="194"/>
      <c r="EV75" s="194"/>
      <c r="EW75" s="211" t="s">
        <v>3907</v>
      </c>
      <c r="EX75" s="211" t="s">
        <v>3977</v>
      </c>
      <c r="EY75" s="211" t="s">
        <v>4039</v>
      </c>
      <c r="EZ75" s="211" t="s">
        <v>4101</v>
      </c>
      <c r="FA75" s="211" t="s">
        <v>4163</v>
      </c>
      <c r="FB75" s="211" t="s">
        <v>4227</v>
      </c>
      <c r="FC75" s="211" t="s">
        <v>4288</v>
      </c>
      <c r="FD75" s="211" t="s">
        <v>4349</v>
      </c>
      <c r="FE75" s="211" t="s">
        <v>4410</v>
      </c>
      <c r="FF75" s="194"/>
      <c r="FG75" s="194"/>
      <c r="FH75" s="194"/>
      <c r="FI75" s="194"/>
      <c r="FJ75" s="55"/>
      <c r="FK75" s="194"/>
      <c r="FL75" s="197"/>
      <c r="FM75" s="194"/>
      <c r="FN75" s="198"/>
      <c r="FO75" s="194"/>
      <c r="FP75" s="198"/>
      <c r="FQ75" s="194"/>
      <c r="FR75" s="43"/>
      <c r="FS75" s="194"/>
      <c r="FT75" s="194"/>
      <c r="FU75" s="194"/>
      <c r="FV75" s="199"/>
      <c r="FW75" s="194"/>
      <c r="FX75" s="200"/>
    </row>
    <row r="76" spans="1:180" ht="15" customHeight="1" x14ac:dyDescent="0.2">
      <c r="A76" s="155" t="s">
        <v>289</v>
      </c>
      <c r="B76" s="189" t="s">
        <v>2850</v>
      </c>
      <c r="C76" s="189" t="s">
        <v>2963</v>
      </c>
      <c r="D76" s="211" t="s">
        <v>3220</v>
      </c>
      <c r="E76" s="53" t="s">
        <v>24</v>
      </c>
      <c r="F76" s="212" t="s">
        <v>24</v>
      </c>
      <c r="G76" s="53"/>
      <c r="H76" s="211" t="s">
        <v>3318</v>
      </c>
      <c r="I76" s="211" t="s">
        <v>3418</v>
      </c>
      <c r="J76" s="211" t="s">
        <v>870</v>
      </c>
      <c r="K76" s="190"/>
      <c r="L76" s="189">
        <v>1</v>
      </c>
      <c r="M76" s="211" t="s">
        <v>3529</v>
      </c>
      <c r="N76" s="211" t="s">
        <v>3629</v>
      </c>
      <c r="O76" s="189" t="s">
        <v>292</v>
      </c>
      <c r="P76" s="189" t="s">
        <v>293</v>
      </c>
      <c r="Q76" s="211">
        <v>27075</v>
      </c>
      <c r="R76" s="189" t="s">
        <v>294</v>
      </c>
      <c r="S76" s="189" t="s">
        <v>3063</v>
      </c>
      <c r="T76" s="189" t="s">
        <v>664</v>
      </c>
      <c r="U76" s="211">
        <v>13</v>
      </c>
      <c r="V76" s="211" t="s">
        <v>296</v>
      </c>
      <c r="W76" s="211" t="s">
        <v>3721</v>
      </c>
      <c r="X76" s="53"/>
      <c r="Y76" s="211">
        <v>1</v>
      </c>
      <c r="Z76" s="139" t="s">
        <v>298</v>
      </c>
      <c r="AA76" s="189" t="s">
        <v>299</v>
      </c>
      <c r="AB76" s="189" t="s">
        <v>3144</v>
      </c>
      <c r="AC76" s="211" t="s">
        <v>3822</v>
      </c>
      <c r="AD76" s="164" t="b">
        <v>1</v>
      </c>
      <c r="AE76" s="192"/>
      <c r="AF76" s="193"/>
      <c r="AG76" s="193"/>
      <c r="AH76" s="193"/>
      <c r="AI76" s="193"/>
      <c r="AJ76" s="193"/>
      <c r="AK76" s="193"/>
      <c r="AL76" s="194"/>
      <c r="AM76" s="48"/>
      <c r="AN76" s="48"/>
      <c r="AO76" s="48"/>
      <c r="AP76" s="194"/>
      <c r="AQ76" s="194"/>
      <c r="AR76" s="194"/>
      <c r="AS76" s="194"/>
      <c r="AT76" s="194"/>
      <c r="AU76" s="194"/>
      <c r="AV76" s="194"/>
      <c r="AW76" s="194"/>
      <c r="AX76" s="194"/>
      <c r="AY76" s="194"/>
      <c r="AZ76" s="194"/>
      <c r="BA76" s="194"/>
      <c r="BB76" s="194"/>
      <c r="BC76" s="194"/>
      <c r="BD76" s="194"/>
      <c r="BE76" s="194"/>
      <c r="BF76" s="194"/>
      <c r="BG76" s="194"/>
      <c r="BH76" s="194"/>
      <c r="BI76" s="194"/>
      <c r="BJ76" s="194"/>
      <c r="BK76" s="194"/>
      <c r="BL76" s="194"/>
      <c r="BM76" s="194"/>
      <c r="BN76" s="194"/>
      <c r="BO76" s="194"/>
      <c r="BP76" s="194"/>
      <c r="BQ76" s="194"/>
      <c r="BR76" s="194"/>
      <c r="BS76" s="194"/>
      <c r="BT76" s="194"/>
      <c r="BU76" s="194"/>
      <c r="BV76" s="194"/>
      <c r="BW76" s="194"/>
      <c r="BX76" s="194"/>
      <c r="BY76" s="194"/>
      <c r="BZ76" s="194"/>
      <c r="CA76" s="194"/>
      <c r="CB76" s="194"/>
      <c r="CC76" s="194"/>
      <c r="CD76" s="194"/>
      <c r="CE76" s="194"/>
      <c r="CF76" s="194"/>
      <c r="CG76" s="194"/>
      <c r="CH76" s="194"/>
      <c r="CI76" s="194"/>
      <c r="CJ76" s="194"/>
      <c r="CK76" s="194"/>
      <c r="CL76" s="194"/>
      <c r="CM76" s="194"/>
      <c r="CN76" s="194"/>
      <c r="CO76" s="194"/>
      <c r="CP76" s="48"/>
      <c r="CQ76" s="194"/>
      <c r="CR76" s="194"/>
      <c r="CS76" s="194"/>
      <c r="CT76" s="194"/>
      <c r="CU76" s="194"/>
      <c r="CV76" s="194"/>
      <c r="CW76" s="194"/>
      <c r="CX76" s="194"/>
      <c r="CY76" s="194"/>
      <c r="CZ76" s="194"/>
      <c r="DA76" s="194"/>
      <c r="DB76" s="194"/>
      <c r="DC76" s="194"/>
      <c r="DD76" s="196"/>
      <c r="DE76" s="194"/>
      <c r="DF76" s="194"/>
      <c r="DG76" s="196"/>
      <c r="DH76" s="196"/>
      <c r="DI76" s="196"/>
      <c r="DJ76" s="194"/>
      <c r="DK76" s="194"/>
      <c r="DL76" s="194"/>
      <c r="DM76" s="194"/>
      <c r="DN76" s="194"/>
      <c r="DO76" s="194"/>
      <c r="DP76" s="194"/>
      <c r="DQ76" s="196"/>
      <c r="DR76" s="194"/>
      <c r="DS76" s="196"/>
      <c r="DT76" s="194"/>
      <c r="DU76" s="194"/>
      <c r="DV76" s="194"/>
      <c r="DW76" s="194"/>
      <c r="DX76" s="194"/>
      <c r="DY76" s="194"/>
      <c r="DZ76" s="194"/>
      <c r="EA76" s="194"/>
      <c r="EB76" s="194"/>
      <c r="EC76" s="194"/>
      <c r="ED76" s="194"/>
      <c r="EE76" s="194"/>
      <c r="EF76" s="194"/>
      <c r="EG76" s="194"/>
      <c r="EH76" s="194"/>
      <c r="EI76" s="194"/>
      <c r="EJ76" s="194"/>
      <c r="EK76" s="196"/>
      <c r="EL76" s="196"/>
      <c r="EM76" s="48"/>
      <c r="EN76" s="55"/>
      <c r="EO76" s="48"/>
      <c r="EP76" s="48"/>
      <c r="EQ76" s="196"/>
      <c r="ER76" s="194"/>
      <c r="ES76" s="48"/>
      <c r="ET76" s="194"/>
      <c r="EU76" s="194"/>
      <c r="EV76" s="194"/>
      <c r="EW76" s="211" t="s">
        <v>3852</v>
      </c>
      <c r="EX76" s="211" t="s">
        <v>3958</v>
      </c>
      <c r="EY76" s="211" t="s">
        <v>4020</v>
      </c>
      <c r="EZ76" s="211" t="s">
        <v>4082</v>
      </c>
      <c r="FA76" s="211" t="s">
        <v>4144</v>
      </c>
      <c r="FB76" s="211" t="s">
        <v>4208</v>
      </c>
      <c r="FC76" s="211" t="s">
        <v>4269</v>
      </c>
      <c r="FD76" s="211" t="s">
        <v>4330</v>
      </c>
      <c r="FE76" s="211" t="s">
        <v>4391</v>
      </c>
      <c r="FF76" s="194"/>
      <c r="FG76" s="194"/>
      <c r="FH76" s="194"/>
      <c r="FI76" s="194"/>
      <c r="FJ76" s="55"/>
      <c r="FK76" s="194"/>
      <c r="FL76" s="197"/>
      <c r="FM76" s="194"/>
      <c r="FN76" s="198"/>
      <c r="FO76" s="194"/>
      <c r="FP76" s="198"/>
      <c r="FQ76" s="194"/>
      <c r="FR76" s="43"/>
      <c r="FS76" s="194"/>
      <c r="FT76" s="194"/>
      <c r="FU76" s="194"/>
      <c r="FV76" s="199"/>
      <c r="FW76" s="194"/>
      <c r="FX76" s="200"/>
    </row>
    <row r="77" spans="1:180" ht="15" customHeight="1" x14ac:dyDescent="0.2">
      <c r="A77" s="99" t="s">
        <v>289</v>
      </c>
      <c r="B77" s="189" t="s">
        <v>2874</v>
      </c>
      <c r="C77" s="189" t="s">
        <v>2964</v>
      </c>
      <c r="D77" s="211" t="s">
        <v>3221</v>
      </c>
      <c r="E77" s="53" t="s">
        <v>698</v>
      </c>
      <c r="F77" s="213" t="s">
        <v>24</v>
      </c>
      <c r="G77" s="53"/>
      <c r="H77" s="211" t="s">
        <v>3319</v>
      </c>
      <c r="I77" s="211" t="s">
        <v>3419</v>
      </c>
      <c r="J77" s="211" t="s">
        <v>472</v>
      </c>
      <c r="K77" s="190"/>
      <c r="L77" s="189">
        <v>2</v>
      </c>
      <c r="M77" s="211" t="s">
        <v>3530</v>
      </c>
      <c r="N77" s="211" t="s">
        <v>3630</v>
      </c>
      <c r="O77" s="189" t="s">
        <v>292</v>
      </c>
      <c r="P77" s="189" t="s">
        <v>293</v>
      </c>
      <c r="Q77" s="211">
        <v>27076</v>
      </c>
      <c r="R77" s="189" t="s">
        <v>294</v>
      </c>
      <c r="S77" s="189" t="s">
        <v>3064</v>
      </c>
      <c r="T77" s="189" t="s">
        <v>3130</v>
      </c>
      <c r="U77" s="211">
        <v>9</v>
      </c>
      <c r="V77" s="211" t="s">
        <v>296</v>
      </c>
      <c r="W77" s="211" t="s">
        <v>3722</v>
      </c>
      <c r="X77" s="53"/>
      <c r="Y77" s="211">
        <v>1</v>
      </c>
      <c r="Z77" s="53" t="s">
        <v>298</v>
      </c>
      <c r="AA77" s="189" t="s">
        <v>299</v>
      </c>
      <c r="AB77" s="189" t="s">
        <v>766</v>
      </c>
      <c r="AC77" s="211" t="s">
        <v>3823</v>
      </c>
      <c r="AD77" s="164" t="b">
        <v>0</v>
      </c>
      <c r="AE77" s="192"/>
      <c r="AF77" s="193"/>
      <c r="AG77" s="193"/>
      <c r="AH77" s="193"/>
      <c r="AI77" s="193"/>
      <c r="AJ77" s="193"/>
      <c r="AK77" s="193"/>
      <c r="AL77" s="194"/>
      <c r="AM77" s="48"/>
      <c r="AN77" s="48"/>
      <c r="AO77" s="48"/>
      <c r="AP77" s="194"/>
      <c r="AQ77" s="194"/>
      <c r="AR77" s="194"/>
      <c r="AS77" s="194"/>
      <c r="AT77" s="194"/>
      <c r="AU77" s="194"/>
      <c r="AV77" s="194"/>
      <c r="AW77" s="194"/>
      <c r="AX77" s="194"/>
      <c r="AY77" s="194"/>
      <c r="AZ77" s="194"/>
      <c r="BA77" s="194"/>
      <c r="BB77" s="194"/>
      <c r="BC77" s="194"/>
      <c r="BD77" s="194"/>
      <c r="BE77" s="194"/>
      <c r="BF77" s="194"/>
      <c r="BG77" s="194"/>
      <c r="BH77" s="194"/>
      <c r="BI77" s="194"/>
      <c r="BJ77" s="194"/>
      <c r="BK77" s="194"/>
      <c r="BL77" s="194"/>
      <c r="BM77" s="194"/>
      <c r="BN77" s="194"/>
      <c r="BO77" s="194"/>
      <c r="BP77" s="194"/>
      <c r="BQ77" s="194"/>
      <c r="BR77" s="194"/>
      <c r="BS77" s="194"/>
      <c r="BT77" s="194"/>
      <c r="BU77" s="194"/>
      <c r="BV77" s="194"/>
      <c r="BW77" s="194"/>
      <c r="BX77" s="194"/>
      <c r="BY77" s="194"/>
      <c r="BZ77" s="194"/>
      <c r="CA77" s="194"/>
      <c r="CB77" s="194"/>
      <c r="CC77" s="194"/>
      <c r="CD77" s="194"/>
      <c r="CE77" s="194"/>
      <c r="CF77" s="194"/>
      <c r="CG77" s="194"/>
      <c r="CH77" s="194"/>
      <c r="CI77" s="194"/>
      <c r="CJ77" s="194"/>
      <c r="CK77" s="194"/>
      <c r="CL77" s="194"/>
      <c r="CM77" s="194"/>
      <c r="CN77" s="194"/>
      <c r="CO77" s="194"/>
      <c r="CP77" s="48"/>
      <c r="CQ77" s="194"/>
      <c r="CR77" s="194"/>
      <c r="CS77" s="194"/>
      <c r="CT77" s="194"/>
      <c r="CU77" s="194"/>
      <c r="CV77" s="194"/>
      <c r="CW77" s="194"/>
      <c r="CX77" s="194"/>
      <c r="CY77" s="194"/>
      <c r="CZ77" s="194"/>
      <c r="DA77" s="194"/>
      <c r="DB77" s="194"/>
      <c r="DC77" s="194"/>
      <c r="DD77" s="196"/>
      <c r="DE77" s="194"/>
      <c r="DF77" s="194"/>
      <c r="DG77" s="196"/>
      <c r="DH77" s="196"/>
      <c r="DI77" s="196"/>
      <c r="DJ77" s="194"/>
      <c r="DK77" s="194"/>
      <c r="DL77" s="194"/>
      <c r="DM77" s="194"/>
      <c r="DN77" s="194"/>
      <c r="DO77" s="194"/>
      <c r="DP77" s="194"/>
      <c r="DQ77" s="196"/>
      <c r="DR77" s="194"/>
      <c r="DS77" s="196"/>
      <c r="DT77" s="194"/>
      <c r="DU77" s="194"/>
      <c r="DV77" s="194"/>
      <c r="DW77" s="194"/>
      <c r="DX77" s="194"/>
      <c r="DY77" s="194"/>
      <c r="DZ77" s="194"/>
      <c r="EA77" s="194"/>
      <c r="EB77" s="194"/>
      <c r="EC77" s="194"/>
      <c r="ED77" s="194"/>
      <c r="EE77" s="194"/>
      <c r="EF77" s="194"/>
      <c r="EG77" s="194"/>
      <c r="EH77" s="194"/>
      <c r="EI77" s="194"/>
      <c r="EJ77" s="194"/>
      <c r="EK77" s="196"/>
      <c r="EL77" s="196"/>
      <c r="EM77" s="48"/>
      <c r="EN77" s="55"/>
      <c r="EO77" s="48"/>
      <c r="EP77" s="48"/>
      <c r="EQ77" s="196"/>
      <c r="ER77" s="194"/>
      <c r="ES77" s="48"/>
      <c r="ET77" s="194"/>
      <c r="EU77" s="194"/>
      <c r="EV77" s="194"/>
      <c r="EW77" s="211" t="s">
        <v>3908</v>
      </c>
      <c r="EX77" s="211" t="s">
        <v>3923</v>
      </c>
      <c r="EY77" s="211" t="s">
        <v>3985</v>
      </c>
      <c r="EZ77" s="211" t="s">
        <v>4047</v>
      </c>
      <c r="FA77" s="211" t="s">
        <v>4109</v>
      </c>
      <c r="FB77" s="211" t="s">
        <v>4173</v>
      </c>
      <c r="FC77" s="211" t="s">
        <v>4234</v>
      </c>
      <c r="FD77" s="211" t="s">
        <v>4295</v>
      </c>
      <c r="FE77" s="211" t="s">
        <v>4356</v>
      </c>
      <c r="FF77" s="194"/>
      <c r="FG77" s="194"/>
      <c r="FH77" s="194"/>
      <c r="FI77" s="194"/>
      <c r="FJ77" s="55"/>
      <c r="FK77" s="194"/>
      <c r="FL77" s="197"/>
      <c r="FM77" s="194"/>
      <c r="FN77" s="198"/>
      <c r="FO77" s="194"/>
      <c r="FP77" s="198"/>
      <c r="FQ77" s="194"/>
      <c r="FR77" s="43"/>
      <c r="FS77" s="194"/>
      <c r="FT77" s="194"/>
      <c r="FU77" s="194"/>
      <c r="FV77" s="199"/>
      <c r="FW77" s="194"/>
      <c r="FX77" s="200"/>
    </row>
    <row r="78" spans="1:180" ht="15" customHeight="1" x14ac:dyDescent="0.2">
      <c r="A78" s="100" t="s">
        <v>289</v>
      </c>
      <c r="B78" s="189" t="s">
        <v>2833</v>
      </c>
      <c r="C78" s="189" t="s">
        <v>2965</v>
      </c>
      <c r="D78" s="211" t="s">
        <v>3222</v>
      </c>
      <c r="E78" s="70" t="s">
        <v>24</v>
      </c>
      <c r="F78" s="212" t="s">
        <v>24</v>
      </c>
      <c r="G78" s="53"/>
      <c r="H78" s="211" t="s">
        <v>3320</v>
      </c>
      <c r="I78" s="211" t="s">
        <v>3420</v>
      </c>
      <c r="J78" s="211" t="s">
        <v>833</v>
      </c>
      <c r="K78" s="190"/>
      <c r="L78" s="189">
        <v>6</v>
      </c>
      <c r="M78" s="211" t="s">
        <v>3531</v>
      </c>
      <c r="N78" s="211" t="s">
        <v>3631</v>
      </c>
      <c r="O78" s="189" t="s">
        <v>292</v>
      </c>
      <c r="P78" s="189" t="s">
        <v>293</v>
      </c>
      <c r="Q78" s="211">
        <v>27077</v>
      </c>
      <c r="R78" s="189" t="s">
        <v>294</v>
      </c>
      <c r="S78" s="189" t="s">
        <v>3065</v>
      </c>
      <c r="T78" s="189" t="s">
        <v>375</v>
      </c>
      <c r="U78" s="211">
        <v>11</v>
      </c>
      <c r="V78" s="211" t="s">
        <v>296</v>
      </c>
      <c r="W78" s="211" t="s">
        <v>3723</v>
      </c>
      <c r="X78" s="53"/>
      <c r="Y78" s="211">
        <v>1</v>
      </c>
      <c r="Z78" s="89" t="s">
        <v>298</v>
      </c>
      <c r="AA78" s="189" t="s">
        <v>3142</v>
      </c>
      <c r="AB78" s="189" t="s">
        <v>410</v>
      </c>
      <c r="AC78" s="211" t="s">
        <v>3824</v>
      </c>
      <c r="AD78" s="164" t="b">
        <v>0</v>
      </c>
      <c r="AE78" s="192"/>
      <c r="AF78" s="193"/>
      <c r="AG78" s="193"/>
      <c r="AH78" s="193"/>
      <c r="AI78" s="193"/>
      <c r="AJ78" s="193"/>
      <c r="AK78" s="193"/>
      <c r="AL78" s="194"/>
      <c r="AM78" s="48"/>
      <c r="AN78" s="48"/>
      <c r="AO78" s="48"/>
      <c r="AP78" s="194"/>
      <c r="AQ78" s="194"/>
      <c r="AR78" s="194"/>
      <c r="AS78" s="194"/>
      <c r="AT78" s="194"/>
      <c r="AU78" s="194"/>
      <c r="AV78" s="194"/>
      <c r="AW78" s="194"/>
      <c r="AX78" s="194"/>
      <c r="AY78" s="194"/>
      <c r="AZ78" s="194"/>
      <c r="BA78" s="194"/>
      <c r="BB78" s="194"/>
      <c r="BC78" s="194"/>
      <c r="BD78" s="194"/>
      <c r="BE78" s="194"/>
      <c r="BF78" s="194"/>
      <c r="BG78" s="194"/>
      <c r="BH78" s="194"/>
      <c r="BI78" s="194"/>
      <c r="BJ78" s="194"/>
      <c r="BK78" s="194"/>
      <c r="BL78" s="194"/>
      <c r="BM78" s="194"/>
      <c r="BN78" s="194"/>
      <c r="BO78" s="194"/>
      <c r="BP78" s="194"/>
      <c r="BQ78" s="194"/>
      <c r="BR78" s="194"/>
      <c r="BS78" s="194"/>
      <c r="BT78" s="194"/>
      <c r="BU78" s="194"/>
      <c r="BV78" s="194"/>
      <c r="BW78" s="194"/>
      <c r="BX78" s="194"/>
      <c r="BY78" s="194"/>
      <c r="BZ78" s="194"/>
      <c r="CA78" s="194"/>
      <c r="CB78" s="194"/>
      <c r="CC78" s="194"/>
      <c r="CD78" s="194"/>
      <c r="CE78" s="194"/>
      <c r="CF78" s="194"/>
      <c r="CG78" s="194"/>
      <c r="CH78" s="194"/>
      <c r="CI78" s="194"/>
      <c r="CJ78" s="194"/>
      <c r="CK78" s="194"/>
      <c r="CL78" s="194"/>
      <c r="CM78" s="194"/>
      <c r="CN78" s="194"/>
      <c r="CO78" s="194"/>
      <c r="CP78" s="48"/>
      <c r="CQ78" s="194"/>
      <c r="CR78" s="194"/>
      <c r="CS78" s="194"/>
      <c r="CT78" s="194"/>
      <c r="CU78" s="194"/>
      <c r="CV78" s="194"/>
      <c r="CW78" s="194"/>
      <c r="CX78" s="194"/>
      <c r="CY78" s="194"/>
      <c r="CZ78" s="194"/>
      <c r="DA78" s="194"/>
      <c r="DB78" s="194"/>
      <c r="DC78" s="194"/>
      <c r="DD78" s="196"/>
      <c r="DE78" s="194"/>
      <c r="DF78" s="194"/>
      <c r="DG78" s="196"/>
      <c r="DH78" s="196"/>
      <c r="DI78" s="196"/>
      <c r="DJ78" s="194"/>
      <c r="DK78" s="194"/>
      <c r="DL78" s="194"/>
      <c r="DM78" s="194"/>
      <c r="DN78" s="194"/>
      <c r="DO78" s="194"/>
      <c r="DP78" s="194"/>
      <c r="DQ78" s="196"/>
      <c r="DR78" s="194"/>
      <c r="DS78" s="196"/>
      <c r="DT78" s="194"/>
      <c r="DU78" s="194"/>
      <c r="DV78" s="194"/>
      <c r="DW78" s="194"/>
      <c r="DX78" s="194"/>
      <c r="DY78" s="194"/>
      <c r="DZ78" s="194"/>
      <c r="EA78" s="194"/>
      <c r="EB78" s="194"/>
      <c r="EC78" s="194"/>
      <c r="ED78" s="194"/>
      <c r="EE78" s="194"/>
      <c r="EF78" s="194"/>
      <c r="EG78" s="194"/>
      <c r="EH78" s="194"/>
      <c r="EI78" s="194"/>
      <c r="EJ78" s="194"/>
      <c r="EK78" s="196"/>
      <c r="EL78" s="196"/>
      <c r="EM78" s="48"/>
      <c r="EN78" s="55"/>
      <c r="EO78" s="48"/>
      <c r="EP78" s="48"/>
      <c r="EQ78" s="196"/>
      <c r="ER78" s="194"/>
      <c r="ES78" s="48"/>
      <c r="ET78" s="194"/>
      <c r="EU78" s="194"/>
      <c r="EV78" s="194"/>
      <c r="EW78" s="211" t="s">
        <v>3849</v>
      </c>
      <c r="EX78" s="211" t="s">
        <v>3978</v>
      </c>
      <c r="EY78" s="211" t="s">
        <v>4040</v>
      </c>
      <c r="EZ78" s="211" t="s">
        <v>4102</v>
      </c>
      <c r="FA78" s="211" t="s">
        <v>4164</v>
      </c>
      <c r="FB78" s="211" t="s">
        <v>4228</v>
      </c>
      <c r="FC78" s="211" t="s">
        <v>4289</v>
      </c>
      <c r="FD78" s="211" t="s">
        <v>4350</v>
      </c>
      <c r="FE78" s="211" t="s">
        <v>4411</v>
      </c>
      <c r="FF78" s="194"/>
      <c r="FG78" s="194"/>
      <c r="FH78" s="194"/>
      <c r="FI78" s="194"/>
      <c r="FJ78" s="55"/>
      <c r="FK78" s="194"/>
      <c r="FL78" s="197"/>
      <c r="FM78" s="194"/>
      <c r="FN78" s="198"/>
      <c r="FO78" s="194"/>
      <c r="FP78" s="198"/>
      <c r="FQ78" s="194"/>
      <c r="FR78" s="43"/>
      <c r="FS78" s="194"/>
      <c r="FT78" s="194"/>
      <c r="FU78" s="194"/>
      <c r="FV78" s="199"/>
      <c r="FW78" s="194"/>
      <c r="FX78" s="200"/>
    </row>
    <row r="79" spans="1:180" ht="15" customHeight="1" x14ac:dyDescent="0.2">
      <c r="A79" s="173" t="s">
        <v>289</v>
      </c>
      <c r="B79" s="189" t="s">
        <v>2833</v>
      </c>
      <c r="C79" s="189" t="s">
        <v>2966</v>
      </c>
      <c r="D79" s="211" t="s">
        <v>3223</v>
      </c>
      <c r="E79" s="53" t="s">
        <v>472</v>
      </c>
      <c r="F79" s="214" t="s">
        <v>472</v>
      </c>
      <c r="G79" s="53"/>
      <c r="H79" s="211" t="s">
        <v>3321</v>
      </c>
      <c r="I79" s="211" t="s">
        <v>3421</v>
      </c>
      <c r="J79" s="211" t="s">
        <v>24</v>
      </c>
      <c r="K79" s="190"/>
      <c r="L79" s="189">
        <v>2</v>
      </c>
      <c r="M79" s="211" t="s">
        <v>3532</v>
      </c>
      <c r="N79" s="211" t="s">
        <v>3632</v>
      </c>
      <c r="O79" s="189" t="s">
        <v>292</v>
      </c>
      <c r="P79" s="189" t="s">
        <v>293</v>
      </c>
      <c r="Q79" s="211">
        <v>27078</v>
      </c>
      <c r="R79" s="189" t="s">
        <v>294</v>
      </c>
      <c r="S79" s="189" t="s">
        <v>3066</v>
      </c>
      <c r="T79" s="189" t="s">
        <v>3131</v>
      </c>
      <c r="U79" s="211">
        <v>5</v>
      </c>
      <c r="V79" s="211" t="s">
        <v>296</v>
      </c>
      <c r="W79" s="211" t="s">
        <v>3724</v>
      </c>
      <c r="X79" s="53"/>
      <c r="Y79" s="211">
        <v>1</v>
      </c>
      <c r="Z79" s="53" t="s">
        <v>298</v>
      </c>
      <c r="AA79" s="189" t="s">
        <v>299</v>
      </c>
      <c r="AB79" s="189" t="s">
        <v>336</v>
      </c>
      <c r="AC79" s="211" t="s">
        <v>3825</v>
      </c>
      <c r="AD79" s="164" t="b">
        <v>1</v>
      </c>
      <c r="AE79" s="192"/>
      <c r="AF79" s="193"/>
      <c r="AG79" s="193"/>
      <c r="AH79" s="193"/>
      <c r="AI79" s="193"/>
      <c r="AJ79" s="193"/>
      <c r="AK79" s="193"/>
      <c r="AL79" s="194"/>
      <c r="AM79" s="48"/>
      <c r="AN79" s="48"/>
      <c r="AO79" s="48"/>
      <c r="AP79" s="194"/>
      <c r="AQ79" s="194"/>
      <c r="AR79" s="194"/>
      <c r="AS79" s="194"/>
      <c r="AT79" s="194"/>
      <c r="AU79" s="194"/>
      <c r="AV79" s="194"/>
      <c r="AW79" s="194"/>
      <c r="AX79" s="194"/>
      <c r="AY79" s="194"/>
      <c r="AZ79" s="194"/>
      <c r="BA79" s="194"/>
      <c r="BB79" s="194"/>
      <c r="BC79" s="194"/>
      <c r="BD79" s="194"/>
      <c r="BE79" s="194"/>
      <c r="BF79" s="194"/>
      <c r="BG79" s="194"/>
      <c r="BH79" s="194"/>
      <c r="BI79" s="194"/>
      <c r="BJ79" s="194"/>
      <c r="BK79" s="194"/>
      <c r="BL79" s="194"/>
      <c r="BM79" s="194"/>
      <c r="BN79" s="194"/>
      <c r="BO79" s="194"/>
      <c r="BP79" s="194"/>
      <c r="BQ79" s="194"/>
      <c r="BR79" s="194"/>
      <c r="BS79" s="194"/>
      <c r="BT79" s="194"/>
      <c r="BU79" s="194"/>
      <c r="BV79" s="194"/>
      <c r="BW79" s="194"/>
      <c r="BX79" s="194"/>
      <c r="BY79" s="194"/>
      <c r="BZ79" s="194"/>
      <c r="CA79" s="194"/>
      <c r="CB79" s="194"/>
      <c r="CC79" s="194"/>
      <c r="CD79" s="194"/>
      <c r="CE79" s="194"/>
      <c r="CF79" s="194"/>
      <c r="CG79" s="194"/>
      <c r="CH79" s="194"/>
      <c r="CI79" s="194"/>
      <c r="CJ79" s="194"/>
      <c r="CK79" s="194"/>
      <c r="CL79" s="194"/>
      <c r="CM79" s="194"/>
      <c r="CN79" s="194"/>
      <c r="CO79" s="194"/>
      <c r="CP79" s="48"/>
      <c r="CQ79" s="194"/>
      <c r="CR79" s="194"/>
      <c r="CS79" s="194"/>
      <c r="CT79" s="194"/>
      <c r="CU79" s="194"/>
      <c r="CV79" s="194"/>
      <c r="CW79" s="194"/>
      <c r="CX79" s="194"/>
      <c r="CY79" s="194"/>
      <c r="CZ79" s="194"/>
      <c r="DA79" s="194"/>
      <c r="DB79" s="194"/>
      <c r="DC79" s="194"/>
      <c r="DD79" s="196"/>
      <c r="DE79" s="194"/>
      <c r="DF79" s="194"/>
      <c r="DG79" s="196"/>
      <c r="DH79" s="196"/>
      <c r="DI79" s="196"/>
      <c r="DJ79" s="194"/>
      <c r="DK79" s="194"/>
      <c r="DL79" s="194"/>
      <c r="DM79" s="194"/>
      <c r="DN79" s="194"/>
      <c r="DO79" s="194"/>
      <c r="DP79" s="194"/>
      <c r="DQ79" s="196"/>
      <c r="DR79" s="194"/>
      <c r="DS79" s="196"/>
      <c r="DT79" s="194"/>
      <c r="DU79" s="194"/>
      <c r="DV79" s="194"/>
      <c r="DW79" s="194"/>
      <c r="DX79" s="194"/>
      <c r="DY79" s="194"/>
      <c r="DZ79" s="194"/>
      <c r="EA79" s="194"/>
      <c r="EB79" s="194"/>
      <c r="EC79" s="194"/>
      <c r="ED79" s="194"/>
      <c r="EE79" s="194"/>
      <c r="EF79" s="194"/>
      <c r="EG79" s="194"/>
      <c r="EH79" s="194"/>
      <c r="EI79" s="194"/>
      <c r="EJ79" s="194"/>
      <c r="EK79" s="196"/>
      <c r="EL79" s="196"/>
      <c r="EM79" s="48"/>
      <c r="EN79" s="55"/>
      <c r="EO79" s="48"/>
      <c r="EP79" s="48"/>
      <c r="EQ79" s="196"/>
      <c r="ER79" s="194"/>
      <c r="ES79" s="48"/>
      <c r="ET79" s="194"/>
      <c r="EU79" s="194"/>
      <c r="EV79" s="194"/>
      <c r="EW79" s="211" t="s">
        <v>3909</v>
      </c>
      <c r="EX79" s="211" t="s">
        <v>3979</v>
      </c>
      <c r="EY79" s="211" t="s">
        <v>4041</v>
      </c>
      <c r="EZ79" s="211" t="s">
        <v>4103</v>
      </c>
      <c r="FA79" s="211" t="s">
        <v>4165</v>
      </c>
      <c r="FB79" s="211" t="s">
        <v>4229</v>
      </c>
      <c r="FC79" s="211" t="s">
        <v>4290</v>
      </c>
      <c r="FD79" s="211" t="s">
        <v>4351</v>
      </c>
      <c r="FE79" s="211" t="s">
        <v>4412</v>
      </c>
      <c r="FF79" s="194"/>
      <c r="FG79" s="194"/>
      <c r="FH79" s="194"/>
      <c r="FI79" s="194"/>
      <c r="FJ79" s="55"/>
      <c r="FK79" s="194"/>
      <c r="FL79" s="197"/>
      <c r="FM79" s="194"/>
      <c r="FN79" s="198"/>
      <c r="FO79" s="194"/>
      <c r="FP79" s="198"/>
      <c r="FQ79" s="194"/>
      <c r="FR79" s="43"/>
      <c r="FS79" s="194"/>
      <c r="FT79" s="194"/>
      <c r="FU79" s="194"/>
      <c r="FV79" s="199"/>
      <c r="FW79" s="194"/>
      <c r="FX79" s="200"/>
    </row>
    <row r="80" spans="1:180" ht="15" customHeight="1" x14ac:dyDescent="0.2">
      <c r="A80" s="132" t="s">
        <v>289</v>
      </c>
      <c r="B80" s="189" t="s">
        <v>2875</v>
      </c>
      <c r="C80" s="189" t="s">
        <v>2967</v>
      </c>
      <c r="D80" s="211" t="s">
        <v>3224</v>
      </c>
      <c r="E80" s="53" t="s">
        <v>24</v>
      </c>
      <c r="F80" s="214" t="s">
        <v>24</v>
      </c>
      <c r="G80" s="53"/>
      <c r="H80" s="211" t="s">
        <v>3322</v>
      </c>
      <c r="I80" s="211" t="s">
        <v>3422</v>
      </c>
      <c r="J80" s="211" t="s">
        <v>472</v>
      </c>
      <c r="K80" s="190"/>
      <c r="L80" s="189">
        <v>2</v>
      </c>
      <c r="M80" s="211" t="s">
        <v>3533</v>
      </c>
      <c r="N80" s="211" t="s">
        <v>3633</v>
      </c>
      <c r="O80" s="189" t="s">
        <v>292</v>
      </c>
      <c r="P80" s="189" t="s">
        <v>293</v>
      </c>
      <c r="Q80" s="211">
        <v>27079</v>
      </c>
      <c r="R80" s="189" t="s">
        <v>294</v>
      </c>
      <c r="S80" s="189" t="s">
        <v>3067</v>
      </c>
      <c r="T80" s="189" t="s">
        <v>3125</v>
      </c>
      <c r="U80" s="211">
        <v>14</v>
      </c>
      <c r="V80" s="211" t="s">
        <v>296</v>
      </c>
      <c r="W80" s="211" t="s">
        <v>3725</v>
      </c>
      <c r="X80" s="53"/>
      <c r="Y80" s="211">
        <v>1</v>
      </c>
      <c r="Z80" s="139" t="s">
        <v>298</v>
      </c>
      <c r="AA80" s="189" t="s">
        <v>3142</v>
      </c>
      <c r="AB80" s="189" t="s">
        <v>3145</v>
      </c>
      <c r="AC80" s="211" t="s">
        <v>3826</v>
      </c>
      <c r="AD80" s="164" t="b">
        <v>1</v>
      </c>
      <c r="AE80" s="192"/>
      <c r="AF80" s="193"/>
      <c r="AG80" s="193"/>
      <c r="AH80" s="193"/>
      <c r="AI80" s="193"/>
      <c r="AJ80" s="193"/>
      <c r="AK80" s="193"/>
      <c r="AL80" s="194"/>
      <c r="AM80" s="48"/>
      <c r="AN80" s="48"/>
      <c r="AO80" s="48"/>
      <c r="AP80" s="194"/>
      <c r="AQ80" s="194"/>
      <c r="AR80" s="194"/>
      <c r="AS80" s="194"/>
      <c r="AT80" s="194"/>
      <c r="AU80" s="194"/>
      <c r="AV80" s="194"/>
      <c r="AW80" s="194"/>
      <c r="AX80" s="194"/>
      <c r="AY80" s="194"/>
      <c r="AZ80" s="194"/>
      <c r="BA80" s="194"/>
      <c r="BB80" s="194"/>
      <c r="BC80" s="194"/>
      <c r="BD80" s="194"/>
      <c r="BE80" s="194"/>
      <c r="BF80" s="194"/>
      <c r="BG80" s="194"/>
      <c r="BH80" s="194"/>
      <c r="BI80" s="194"/>
      <c r="BJ80" s="194"/>
      <c r="BK80" s="194"/>
      <c r="BL80" s="194"/>
      <c r="BM80" s="194"/>
      <c r="BN80" s="194"/>
      <c r="BO80" s="194"/>
      <c r="BP80" s="194"/>
      <c r="BQ80" s="194"/>
      <c r="BR80" s="194"/>
      <c r="BS80" s="194"/>
      <c r="BT80" s="194"/>
      <c r="BU80" s="194"/>
      <c r="BV80" s="194"/>
      <c r="BW80" s="194"/>
      <c r="BX80" s="194"/>
      <c r="BY80" s="194"/>
      <c r="BZ80" s="194"/>
      <c r="CA80" s="194"/>
      <c r="CB80" s="194"/>
      <c r="CC80" s="194"/>
      <c r="CD80" s="194"/>
      <c r="CE80" s="194"/>
      <c r="CF80" s="194"/>
      <c r="CG80" s="194"/>
      <c r="CH80" s="194"/>
      <c r="CI80" s="194"/>
      <c r="CJ80" s="194"/>
      <c r="CK80" s="194"/>
      <c r="CL80" s="194"/>
      <c r="CM80" s="194"/>
      <c r="CN80" s="194"/>
      <c r="CO80" s="194"/>
      <c r="CP80" s="48"/>
      <c r="CQ80" s="194"/>
      <c r="CR80" s="194"/>
      <c r="CS80" s="194"/>
      <c r="CT80" s="194"/>
      <c r="CU80" s="194"/>
      <c r="CV80" s="194"/>
      <c r="CW80" s="194"/>
      <c r="CX80" s="194"/>
      <c r="CY80" s="194"/>
      <c r="CZ80" s="194"/>
      <c r="DA80" s="194"/>
      <c r="DB80" s="194"/>
      <c r="DC80" s="194"/>
      <c r="DD80" s="196"/>
      <c r="DE80" s="194"/>
      <c r="DF80" s="194"/>
      <c r="DG80" s="196"/>
      <c r="DH80" s="196"/>
      <c r="DI80" s="196"/>
      <c r="DJ80" s="194"/>
      <c r="DK80" s="194"/>
      <c r="DL80" s="194"/>
      <c r="DM80" s="194"/>
      <c r="DN80" s="194"/>
      <c r="DO80" s="194"/>
      <c r="DP80" s="194"/>
      <c r="DQ80" s="196"/>
      <c r="DR80" s="194"/>
      <c r="DS80" s="196"/>
      <c r="DT80" s="194"/>
      <c r="DU80" s="194"/>
      <c r="DV80" s="194"/>
      <c r="DW80" s="194"/>
      <c r="DX80" s="194"/>
      <c r="DY80" s="194"/>
      <c r="DZ80" s="194"/>
      <c r="EA80" s="194"/>
      <c r="EB80" s="194"/>
      <c r="EC80" s="194"/>
      <c r="ED80" s="194"/>
      <c r="EE80" s="194"/>
      <c r="EF80" s="194"/>
      <c r="EG80" s="194"/>
      <c r="EH80" s="194"/>
      <c r="EI80" s="194"/>
      <c r="EJ80" s="194"/>
      <c r="EK80" s="196"/>
      <c r="EL80" s="196"/>
      <c r="EM80" s="48"/>
      <c r="EN80" s="55"/>
      <c r="EO80" s="48"/>
      <c r="EP80" s="48"/>
      <c r="EQ80" s="196"/>
      <c r="ER80" s="194"/>
      <c r="ES80" s="48"/>
      <c r="ET80" s="194"/>
      <c r="EU80" s="194"/>
      <c r="EV80" s="194"/>
      <c r="EW80" s="211" t="s">
        <v>3910</v>
      </c>
      <c r="EX80" s="211" t="s">
        <v>3931</v>
      </c>
      <c r="EY80" s="211" t="s">
        <v>3993</v>
      </c>
      <c r="EZ80" s="211" t="s">
        <v>4055</v>
      </c>
      <c r="FA80" s="211" t="s">
        <v>4117</v>
      </c>
      <c r="FB80" s="211" t="s">
        <v>4181</v>
      </c>
      <c r="FC80" s="211" t="s">
        <v>4242</v>
      </c>
      <c r="FD80" s="211" t="s">
        <v>4303</v>
      </c>
      <c r="FE80" s="211" t="s">
        <v>4364</v>
      </c>
      <c r="FF80" s="194"/>
      <c r="FG80" s="194"/>
      <c r="FH80" s="194"/>
      <c r="FI80" s="194"/>
      <c r="FJ80" s="55"/>
      <c r="FK80" s="194"/>
      <c r="FL80" s="197"/>
      <c r="FM80" s="194"/>
      <c r="FN80" s="198"/>
      <c r="FO80" s="194"/>
      <c r="FP80" s="198"/>
      <c r="FQ80" s="194"/>
      <c r="FR80" s="43"/>
      <c r="FS80" s="194"/>
      <c r="FT80" s="194"/>
      <c r="FU80" s="194"/>
      <c r="FV80" s="199"/>
      <c r="FW80" s="194"/>
      <c r="FX80" s="200"/>
    </row>
    <row r="81" spans="1:180" ht="15" customHeight="1" x14ac:dyDescent="0.2">
      <c r="A81" s="149" t="s">
        <v>289</v>
      </c>
      <c r="B81" s="189" t="s">
        <v>2876</v>
      </c>
      <c r="C81" s="189" t="s">
        <v>2968</v>
      </c>
      <c r="D81" s="211" t="s">
        <v>3225</v>
      </c>
      <c r="E81" s="53" t="s">
        <v>24</v>
      </c>
      <c r="F81" s="213" t="s">
        <v>833</v>
      </c>
      <c r="G81" s="53"/>
      <c r="H81" s="211" t="s">
        <v>3323</v>
      </c>
      <c r="I81" s="211" t="s">
        <v>3423</v>
      </c>
      <c r="J81" s="211" t="s">
        <v>870</v>
      </c>
      <c r="K81" s="190"/>
      <c r="L81" s="189">
        <v>1</v>
      </c>
      <c r="M81" s="211" t="s">
        <v>3534</v>
      </c>
      <c r="N81" s="211" t="s">
        <v>3634</v>
      </c>
      <c r="O81" s="189" t="s">
        <v>292</v>
      </c>
      <c r="P81" s="189" t="s">
        <v>293</v>
      </c>
      <c r="Q81" s="211">
        <v>27080</v>
      </c>
      <c r="R81" s="189" t="s">
        <v>294</v>
      </c>
      <c r="S81" s="189" t="s">
        <v>3068</v>
      </c>
      <c r="T81" s="189" t="s">
        <v>3100</v>
      </c>
      <c r="U81" s="211">
        <v>6</v>
      </c>
      <c r="V81" s="211" t="s">
        <v>296</v>
      </c>
      <c r="W81" s="211" t="s">
        <v>3726</v>
      </c>
      <c r="X81" s="53"/>
      <c r="Y81" s="211">
        <v>1</v>
      </c>
      <c r="Z81" s="139" t="s">
        <v>298</v>
      </c>
      <c r="AA81" s="189" t="s">
        <v>3142</v>
      </c>
      <c r="AB81" s="189" t="s">
        <v>3146</v>
      </c>
      <c r="AC81" s="211" t="s">
        <v>3827</v>
      </c>
      <c r="AD81" s="164" t="b">
        <v>0</v>
      </c>
      <c r="AE81" s="192"/>
      <c r="AF81" s="193"/>
      <c r="AG81" s="193"/>
      <c r="AH81" s="193"/>
      <c r="AI81" s="193"/>
      <c r="AJ81" s="193"/>
      <c r="AK81" s="193"/>
      <c r="AL81" s="194"/>
      <c r="AM81" s="48"/>
      <c r="AN81" s="48"/>
      <c r="AO81" s="48"/>
      <c r="AP81" s="194"/>
      <c r="AQ81" s="194"/>
      <c r="AR81" s="194"/>
      <c r="AS81" s="194"/>
      <c r="AT81" s="194"/>
      <c r="AU81" s="194"/>
      <c r="AV81" s="194"/>
      <c r="AW81" s="194"/>
      <c r="AX81" s="194"/>
      <c r="AY81" s="194"/>
      <c r="AZ81" s="194"/>
      <c r="BA81" s="194"/>
      <c r="BB81" s="194"/>
      <c r="BC81" s="194"/>
      <c r="BD81" s="194"/>
      <c r="BE81" s="194"/>
      <c r="BF81" s="194"/>
      <c r="BG81" s="194"/>
      <c r="BH81" s="194"/>
      <c r="BI81" s="194"/>
      <c r="BJ81" s="194"/>
      <c r="BK81" s="194"/>
      <c r="BL81" s="194"/>
      <c r="BM81" s="194"/>
      <c r="BN81" s="194"/>
      <c r="BO81" s="194"/>
      <c r="BP81" s="194"/>
      <c r="BQ81" s="194"/>
      <c r="BR81" s="194"/>
      <c r="BS81" s="194"/>
      <c r="BT81" s="194"/>
      <c r="BU81" s="194"/>
      <c r="BV81" s="194"/>
      <c r="BW81" s="194"/>
      <c r="BX81" s="194"/>
      <c r="BY81" s="194"/>
      <c r="BZ81" s="194"/>
      <c r="CA81" s="194"/>
      <c r="CB81" s="194"/>
      <c r="CC81" s="194"/>
      <c r="CD81" s="194"/>
      <c r="CE81" s="194"/>
      <c r="CF81" s="194"/>
      <c r="CG81" s="194"/>
      <c r="CH81" s="194"/>
      <c r="CI81" s="194"/>
      <c r="CJ81" s="194"/>
      <c r="CK81" s="194"/>
      <c r="CL81" s="194"/>
      <c r="CM81" s="194"/>
      <c r="CN81" s="194"/>
      <c r="CO81" s="194"/>
      <c r="CP81" s="48"/>
      <c r="CQ81" s="194"/>
      <c r="CR81" s="194"/>
      <c r="CS81" s="194"/>
      <c r="CT81" s="194"/>
      <c r="CU81" s="194"/>
      <c r="CV81" s="194"/>
      <c r="CW81" s="194"/>
      <c r="CX81" s="194"/>
      <c r="CY81" s="194"/>
      <c r="CZ81" s="194"/>
      <c r="DA81" s="194"/>
      <c r="DB81" s="194"/>
      <c r="DC81" s="194"/>
      <c r="DD81" s="196"/>
      <c r="DE81" s="194"/>
      <c r="DF81" s="194"/>
      <c r="DG81" s="196"/>
      <c r="DH81" s="196"/>
      <c r="DI81" s="196"/>
      <c r="DJ81" s="194"/>
      <c r="DK81" s="194"/>
      <c r="DL81" s="194"/>
      <c r="DM81" s="194"/>
      <c r="DN81" s="194"/>
      <c r="DO81" s="194"/>
      <c r="DP81" s="194"/>
      <c r="DQ81" s="196"/>
      <c r="DR81" s="194"/>
      <c r="DS81" s="196"/>
      <c r="DT81" s="194"/>
      <c r="DU81" s="194"/>
      <c r="DV81" s="194"/>
      <c r="DW81" s="194"/>
      <c r="DX81" s="194"/>
      <c r="DY81" s="194"/>
      <c r="DZ81" s="194"/>
      <c r="EA81" s="194"/>
      <c r="EB81" s="194"/>
      <c r="EC81" s="194"/>
      <c r="ED81" s="194"/>
      <c r="EE81" s="194"/>
      <c r="EF81" s="194"/>
      <c r="EG81" s="194"/>
      <c r="EH81" s="194"/>
      <c r="EI81" s="194"/>
      <c r="EJ81" s="194"/>
      <c r="EK81" s="196"/>
      <c r="EL81" s="196"/>
      <c r="EM81" s="48"/>
      <c r="EN81" s="55"/>
      <c r="EO81" s="48"/>
      <c r="EP81" s="48"/>
      <c r="EQ81" s="196"/>
      <c r="ER81" s="194"/>
      <c r="ES81" s="48"/>
      <c r="ET81" s="194"/>
      <c r="EU81" s="194"/>
      <c r="EV81" s="194"/>
      <c r="EW81" s="211" t="s">
        <v>3891</v>
      </c>
      <c r="EX81" s="211" t="s">
        <v>3946</v>
      </c>
      <c r="EY81" s="211" t="s">
        <v>4008</v>
      </c>
      <c r="EZ81" s="211" t="s">
        <v>4070</v>
      </c>
      <c r="FA81" s="211" t="s">
        <v>4132</v>
      </c>
      <c r="FB81" s="211" t="s">
        <v>4196</v>
      </c>
      <c r="FC81" s="211" t="s">
        <v>4257</v>
      </c>
      <c r="FD81" s="211" t="s">
        <v>4318</v>
      </c>
      <c r="FE81" s="211" t="s">
        <v>4379</v>
      </c>
      <c r="FF81" s="194"/>
      <c r="FG81" s="194"/>
      <c r="FH81" s="194"/>
      <c r="FI81" s="194"/>
      <c r="FJ81" s="55"/>
      <c r="FK81" s="194"/>
      <c r="FL81" s="197"/>
      <c r="FM81" s="194"/>
      <c r="FN81" s="198"/>
      <c r="FO81" s="194"/>
      <c r="FP81" s="198"/>
      <c r="FQ81" s="194"/>
      <c r="FR81" s="43"/>
      <c r="FS81" s="194"/>
      <c r="FT81" s="194"/>
      <c r="FU81" s="194"/>
      <c r="FV81" s="199"/>
      <c r="FW81" s="194"/>
      <c r="FX81" s="200"/>
    </row>
    <row r="82" spans="1:180" ht="15" customHeight="1" x14ac:dyDescent="0.2">
      <c r="A82" s="159" t="s">
        <v>289</v>
      </c>
      <c r="B82" s="189" t="s">
        <v>2877</v>
      </c>
      <c r="C82" s="189" t="s">
        <v>2969</v>
      </c>
      <c r="D82" s="211" t="s">
        <v>3226</v>
      </c>
      <c r="E82" s="53" t="s">
        <v>698</v>
      </c>
      <c r="F82" s="212" t="s">
        <v>24</v>
      </c>
      <c r="G82" s="53"/>
      <c r="H82" s="211" t="s">
        <v>3324</v>
      </c>
      <c r="I82" s="211" t="s">
        <v>3424</v>
      </c>
      <c r="J82" s="211" t="s">
        <v>3443</v>
      </c>
      <c r="K82" s="190"/>
      <c r="L82" s="189">
        <v>6</v>
      </c>
      <c r="M82" s="211" t="s">
        <v>3535</v>
      </c>
      <c r="N82" s="211" t="s">
        <v>3635</v>
      </c>
      <c r="O82" s="189" t="s">
        <v>292</v>
      </c>
      <c r="P82" s="189" t="s">
        <v>293</v>
      </c>
      <c r="Q82" s="211">
        <v>27081</v>
      </c>
      <c r="R82" s="189" t="s">
        <v>294</v>
      </c>
      <c r="S82" s="189" t="s">
        <v>3069</v>
      </c>
      <c r="T82" s="189" t="s">
        <v>3116</v>
      </c>
      <c r="U82" s="211">
        <v>12</v>
      </c>
      <c r="V82" s="211" t="s">
        <v>296</v>
      </c>
      <c r="W82" s="211" t="s">
        <v>3727</v>
      </c>
      <c r="X82" s="53"/>
      <c r="Y82" s="211">
        <v>1</v>
      </c>
      <c r="Z82" s="48"/>
      <c r="AA82" s="189" t="s">
        <v>3143</v>
      </c>
      <c r="AB82" s="189" t="s">
        <v>3145</v>
      </c>
      <c r="AC82" s="211" t="s">
        <v>3828</v>
      </c>
      <c r="AD82" s="164" t="b">
        <v>1</v>
      </c>
      <c r="AE82" s="192"/>
      <c r="AF82" s="193"/>
      <c r="AG82" s="193"/>
      <c r="AH82" s="193"/>
      <c r="AI82" s="193"/>
      <c r="AJ82" s="193"/>
      <c r="AK82" s="193"/>
      <c r="AL82" s="194"/>
      <c r="AM82" s="48"/>
      <c r="AN82" s="48"/>
      <c r="AO82" s="48"/>
      <c r="AP82" s="194"/>
      <c r="AQ82" s="194"/>
      <c r="AR82" s="194"/>
      <c r="AS82" s="194"/>
      <c r="AT82" s="194"/>
      <c r="AU82" s="194"/>
      <c r="AV82" s="194"/>
      <c r="AW82" s="194"/>
      <c r="AX82" s="194"/>
      <c r="AY82" s="194"/>
      <c r="AZ82" s="194"/>
      <c r="BA82" s="194"/>
      <c r="BB82" s="194"/>
      <c r="BC82" s="194"/>
      <c r="BD82" s="194"/>
      <c r="BE82" s="194"/>
      <c r="BF82" s="194"/>
      <c r="BG82" s="194"/>
      <c r="BH82" s="194"/>
      <c r="BI82" s="194"/>
      <c r="BJ82" s="194"/>
      <c r="BK82" s="194"/>
      <c r="BL82" s="194"/>
      <c r="BM82" s="194"/>
      <c r="BN82" s="194"/>
      <c r="BO82" s="194"/>
      <c r="BP82" s="194"/>
      <c r="BQ82" s="194"/>
      <c r="BR82" s="194"/>
      <c r="BS82" s="194"/>
      <c r="BT82" s="194"/>
      <c r="BU82" s="194"/>
      <c r="BV82" s="194"/>
      <c r="BW82" s="194"/>
      <c r="BX82" s="194"/>
      <c r="BY82" s="194"/>
      <c r="BZ82" s="194"/>
      <c r="CA82" s="194"/>
      <c r="CB82" s="194"/>
      <c r="CC82" s="194"/>
      <c r="CD82" s="194"/>
      <c r="CE82" s="194"/>
      <c r="CF82" s="194"/>
      <c r="CG82" s="194"/>
      <c r="CH82" s="194"/>
      <c r="CI82" s="194"/>
      <c r="CJ82" s="194"/>
      <c r="CK82" s="194"/>
      <c r="CL82" s="194"/>
      <c r="CM82" s="194"/>
      <c r="CN82" s="194"/>
      <c r="CO82" s="194"/>
      <c r="CP82" s="48"/>
      <c r="CQ82" s="194"/>
      <c r="CR82" s="194"/>
      <c r="CS82" s="194"/>
      <c r="CT82" s="194"/>
      <c r="CU82" s="194"/>
      <c r="CV82" s="194"/>
      <c r="CW82" s="194"/>
      <c r="CX82" s="194"/>
      <c r="CY82" s="194"/>
      <c r="CZ82" s="194"/>
      <c r="DA82" s="194"/>
      <c r="DB82" s="194"/>
      <c r="DC82" s="194"/>
      <c r="DD82" s="196"/>
      <c r="DE82" s="194"/>
      <c r="DF82" s="194"/>
      <c r="DG82" s="196"/>
      <c r="DH82" s="196"/>
      <c r="DI82" s="196"/>
      <c r="DJ82" s="194"/>
      <c r="DK82" s="194"/>
      <c r="DL82" s="194"/>
      <c r="DM82" s="194"/>
      <c r="DN82" s="194"/>
      <c r="DO82" s="194"/>
      <c r="DP82" s="194"/>
      <c r="DQ82" s="196"/>
      <c r="DR82" s="194"/>
      <c r="DS82" s="196"/>
      <c r="DT82" s="194"/>
      <c r="DU82" s="194"/>
      <c r="DV82" s="194"/>
      <c r="DW82" s="194"/>
      <c r="DX82" s="194"/>
      <c r="DY82" s="194"/>
      <c r="DZ82" s="194"/>
      <c r="EA82" s="194"/>
      <c r="EB82" s="194"/>
      <c r="EC82" s="194"/>
      <c r="ED82" s="194"/>
      <c r="EE82" s="194"/>
      <c r="EF82" s="194"/>
      <c r="EG82" s="194"/>
      <c r="EH82" s="194"/>
      <c r="EI82" s="194"/>
      <c r="EJ82" s="194"/>
      <c r="EK82" s="196"/>
      <c r="EL82" s="196"/>
      <c r="EM82" s="48"/>
      <c r="EN82" s="55"/>
      <c r="EO82" s="48"/>
      <c r="EP82" s="48"/>
      <c r="EQ82" s="196"/>
      <c r="ER82" s="194"/>
      <c r="ES82" s="48"/>
      <c r="ET82" s="194"/>
      <c r="EU82" s="194"/>
      <c r="EV82" s="194"/>
      <c r="EW82" s="211" t="s">
        <v>3911</v>
      </c>
      <c r="EX82" s="211" t="s">
        <v>3933</v>
      </c>
      <c r="EY82" s="211" t="s">
        <v>3995</v>
      </c>
      <c r="EZ82" s="211" t="s">
        <v>4057</v>
      </c>
      <c r="FA82" s="211" t="s">
        <v>4119</v>
      </c>
      <c r="FB82" s="211" t="s">
        <v>4183</v>
      </c>
      <c r="FC82" s="211" t="s">
        <v>4244</v>
      </c>
      <c r="FD82" s="211" t="s">
        <v>4305</v>
      </c>
      <c r="FE82" s="211" t="s">
        <v>4366</v>
      </c>
      <c r="FF82" s="194"/>
      <c r="FG82" s="194"/>
      <c r="FH82" s="194"/>
      <c r="FI82" s="194"/>
      <c r="FJ82" s="55"/>
      <c r="FK82" s="194"/>
      <c r="FL82" s="197"/>
      <c r="FM82" s="194"/>
      <c r="FN82" s="198"/>
      <c r="FO82" s="194"/>
      <c r="FP82" s="198"/>
      <c r="FQ82" s="194"/>
      <c r="FR82" s="43"/>
      <c r="FS82" s="194"/>
      <c r="FT82" s="194"/>
      <c r="FU82" s="194"/>
      <c r="FV82" s="199"/>
      <c r="FW82" s="194"/>
      <c r="FX82" s="200"/>
    </row>
    <row r="83" spans="1:180" ht="15" customHeight="1" x14ac:dyDescent="0.2">
      <c r="A83" s="68" t="s">
        <v>289</v>
      </c>
      <c r="B83" s="189" t="s">
        <v>2858</v>
      </c>
      <c r="C83" s="189" t="s">
        <v>2970</v>
      </c>
      <c r="D83" s="211" t="s">
        <v>3227</v>
      </c>
      <c r="E83" s="70" t="s">
        <v>24</v>
      </c>
      <c r="F83" s="213" t="s">
        <v>24</v>
      </c>
      <c r="G83" s="53"/>
      <c r="H83" s="211" t="s">
        <v>3325</v>
      </c>
      <c r="I83" s="211" t="s">
        <v>3425</v>
      </c>
      <c r="J83" s="211" t="s">
        <v>24</v>
      </c>
      <c r="K83" s="190"/>
      <c r="L83" s="189">
        <v>1</v>
      </c>
      <c r="M83" s="211" t="s">
        <v>3536</v>
      </c>
      <c r="N83" s="211" t="s">
        <v>3636</v>
      </c>
      <c r="O83" s="189" t="s">
        <v>292</v>
      </c>
      <c r="P83" s="189" t="s">
        <v>293</v>
      </c>
      <c r="Q83" s="211">
        <v>27082</v>
      </c>
      <c r="R83" s="189" t="s">
        <v>294</v>
      </c>
      <c r="S83" s="189" t="s">
        <v>3070</v>
      </c>
      <c r="T83" s="189" t="s">
        <v>813</v>
      </c>
      <c r="U83" s="211">
        <v>8</v>
      </c>
      <c r="V83" s="211" t="s">
        <v>296</v>
      </c>
      <c r="W83" s="211" t="s">
        <v>3728</v>
      </c>
      <c r="X83" s="53"/>
      <c r="Y83" s="211">
        <v>1</v>
      </c>
      <c r="Z83" s="53" t="s">
        <v>298</v>
      </c>
      <c r="AA83" s="189" t="s">
        <v>299</v>
      </c>
      <c r="AB83" s="189" t="s">
        <v>766</v>
      </c>
      <c r="AC83" s="211" t="s">
        <v>3829</v>
      </c>
      <c r="AD83" s="164" t="b">
        <v>0</v>
      </c>
      <c r="AE83" s="192"/>
      <c r="AF83" s="193"/>
      <c r="AG83" s="193"/>
      <c r="AH83" s="193"/>
      <c r="AI83" s="193"/>
      <c r="AJ83" s="193"/>
      <c r="AK83" s="193"/>
      <c r="AL83" s="194"/>
      <c r="AM83" s="48"/>
      <c r="AN83" s="48"/>
      <c r="AO83" s="48"/>
      <c r="AP83" s="194"/>
      <c r="AQ83" s="194"/>
      <c r="AR83" s="194"/>
      <c r="AS83" s="194"/>
      <c r="AT83" s="194"/>
      <c r="AU83" s="194"/>
      <c r="AV83" s="194"/>
      <c r="AW83" s="194"/>
      <c r="AX83" s="194"/>
      <c r="AY83" s="194"/>
      <c r="AZ83" s="194"/>
      <c r="BA83" s="194"/>
      <c r="BB83" s="194"/>
      <c r="BC83" s="194"/>
      <c r="BD83" s="194"/>
      <c r="BE83" s="194"/>
      <c r="BF83" s="194"/>
      <c r="BG83" s="194"/>
      <c r="BH83" s="194"/>
      <c r="BI83" s="194"/>
      <c r="BJ83" s="194"/>
      <c r="BK83" s="194"/>
      <c r="BL83" s="194"/>
      <c r="BM83" s="194"/>
      <c r="BN83" s="194"/>
      <c r="BO83" s="194"/>
      <c r="BP83" s="194"/>
      <c r="BQ83" s="194"/>
      <c r="BR83" s="194"/>
      <c r="BS83" s="194"/>
      <c r="BT83" s="194"/>
      <c r="BU83" s="194"/>
      <c r="BV83" s="194"/>
      <c r="BW83" s="194"/>
      <c r="BX83" s="194"/>
      <c r="BY83" s="194"/>
      <c r="BZ83" s="194"/>
      <c r="CA83" s="194"/>
      <c r="CB83" s="194"/>
      <c r="CC83" s="194"/>
      <c r="CD83" s="194"/>
      <c r="CE83" s="194"/>
      <c r="CF83" s="194"/>
      <c r="CG83" s="194"/>
      <c r="CH83" s="194"/>
      <c r="CI83" s="194"/>
      <c r="CJ83" s="194"/>
      <c r="CK83" s="194"/>
      <c r="CL83" s="194"/>
      <c r="CM83" s="194"/>
      <c r="CN83" s="194"/>
      <c r="CO83" s="194"/>
      <c r="CP83" s="48"/>
      <c r="CQ83" s="194"/>
      <c r="CR83" s="194"/>
      <c r="CS83" s="194"/>
      <c r="CT83" s="194"/>
      <c r="CU83" s="194"/>
      <c r="CV83" s="194"/>
      <c r="CW83" s="194"/>
      <c r="CX83" s="194"/>
      <c r="CY83" s="194"/>
      <c r="CZ83" s="194"/>
      <c r="DA83" s="194"/>
      <c r="DB83" s="194"/>
      <c r="DC83" s="194"/>
      <c r="DD83" s="196"/>
      <c r="DE83" s="194"/>
      <c r="DF83" s="194"/>
      <c r="DG83" s="196"/>
      <c r="DH83" s="196"/>
      <c r="DI83" s="196"/>
      <c r="DJ83" s="194"/>
      <c r="DK83" s="194"/>
      <c r="DL83" s="194"/>
      <c r="DM83" s="194"/>
      <c r="DN83" s="194"/>
      <c r="DO83" s="194"/>
      <c r="DP83" s="194"/>
      <c r="DQ83" s="196"/>
      <c r="DR83" s="194"/>
      <c r="DS83" s="196"/>
      <c r="DT83" s="194"/>
      <c r="DU83" s="194"/>
      <c r="DV83" s="194"/>
      <c r="DW83" s="194"/>
      <c r="DX83" s="194"/>
      <c r="DY83" s="194"/>
      <c r="DZ83" s="194"/>
      <c r="EA83" s="194"/>
      <c r="EB83" s="194"/>
      <c r="EC83" s="194"/>
      <c r="ED83" s="194"/>
      <c r="EE83" s="194"/>
      <c r="EF83" s="194"/>
      <c r="EG83" s="194"/>
      <c r="EH83" s="194"/>
      <c r="EI83" s="194"/>
      <c r="EJ83" s="194"/>
      <c r="EK83" s="196"/>
      <c r="EL83" s="196"/>
      <c r="EM83" s="48"/>
      <c r="EN83" s="55"/>
      <c r="EO83" s="48"/>
      <c r="EP83" s="48"/>
      <c r="EQ83" s="196"/>
      <c r="ER83" s="194"/>
      <c r="ES83" s="48"/>
      <c r="ET83" s="194"/>
      <c r="EU83" s="194"/>
      <c r="EV83" s="194"/>
      <c r="EW83" s="211" t="s">
        <v>3912</v>
      </c>
      <c r="EX83" s="211" t="s">
        <v>3934</v>
      </c>
      <c r="EY83" s="211" t="s">
        <v>3996</v>
      </c>
      <c r="EZ83" s="211" t="s">
        <v>4058</v>
      </c>
      <c r="FA83" s="211" t="s">
        <v>4120</v>
      </c>
      <c r="FB83" s="211" t="s">
        <v>4184</v>
      </c>
      <c r="FC83" s="211" t="s">
        <v>4245</v>
      </c>
      <c r="FD83" s="211" t="s">
        <v>4306</v>
      </c>
      <c r="FE83" s="211" t="s">
        <v>4367</v>
      </c>
      <c r="FF83" s="194"/>
      <c r="FG83" s="194"/>
      <c r="FH83" s="194"/>
      <c r="FI83" s="194"/>
      <c r="FJ83" s="55"/>
      <c r="FK83" s="194"/>
      <c r="FL83" s="197"/>
      <c r="FM83" s="194"/>
      <c r="FN83" s="198"/>
      <c r="FO83" s="194"/>
      <c r="FP83" s="198"/>
      <c r="FQ83" s="194"/>
      <c r="FR83" s="43"/>
      <c r="FS83" s="194"/>
      <c r="FT83" s="194"/>
      <c r="FU83" s="194"/>
      <c r="FV83" s="199"/>
      <c r="FW83" s="194"/>
      <c r="FX83" s="200"/>
    </row>
    <row r="84" spans="1:180" ht="15" customHeight="1" x14ac:dyDescent="0.2">
      <c r="A84" s="185" t="s">
        <v>289</v>
      </c>
      <c r="B84" s="189" t="s">
        <v>2869</v>
      </c>
      <c r="C84" s="189" t="s">
        <v>2971</v>
      </c>
      <c r="D84" s="211" t="s">
        <v>3228</v>
      </c>
      <c r="E84" s="53" t="s">
        <v>472</v>
      </c>
      <c r="F84" s="212" t="s">
        <v>407</v>
      </c>
      <c r="G84" s="53"/>
      <c r="H84" s="211" t="s">
        <v>3326</v>
      </c>
      <c r="I84" s="211" t="s">
        <v>3426</v>
      </c>
      <c r="J84" s="211" t="s">
        <v>472</v>
      </c>
      <c r="K84" s="190"/>
      <c r="L84" s="189">
        <v>4</v>
      </c>
      <c r="M84" s="211" t="s">
        <v>3537</v>
      </c>
      <c r="N84" s="211" t="s">
        <v>3637</v>
      </c>
      <c r="O84" s="189" t="s">
        <v>292</v>
      </c>
      <c r="P84" s="189" t="s">
        <v>293</v>
      </c>
      <c r="Q84" s="211">
        <v>27083</v>
      </c>
      <c r="R84" s="189" t="s">
        <v>294</v>
      </c>
      <c r="S84" s="189" t="s">
        <v>3071</v>
      </c>
      <c r="T84" s="189" t="s">
        <v>3132</v>
      </c>
      <c r="U84" s="211">
        <v>10</v>
      </c>
      <c r="V84" s="211" t="s">
        <v>296</v>
      </c>
      <c r="W84" s="211" t="s">
        <v>3729</v>
      </c>
      <c r="X84" s="53" t="s">
        <v>472</v>
      </c>
      <c r="Y84" s="211">
        <v>1</v>
      </c>
      <c r="Z84" s="53" t="s">
        <v>298</v>
      </c>
      <c r="AA84" s="189" t="s">
        <v>3142</v>
      </c>
      <c r="AB84" s="189" t="s">
        <v>336</v>
      </c>
      <c r="AC84" s="211" t="s">
        <v>3830</v>
      </c>
      <c r="AD84" s="164" t="b">
        <v>0</v>
      </c>
      <c r="AE84" s="192"/>
      <c r="AF84" s="193"/>
      <c r="AG84" s="193"/>
      <c r="AH84" s="193"/>
      <c r="AI84" s="193"/>
      <c r="AJ84" s="193"/>
      <c r="AK84" s="193"/>
      <c r="AL84" s="194"/>
      <c r="AM84" s="48"/>
      <c r="AN84" s="48"/>
      <c r="AO84" s="48"/>
      <c r="AP84" s="194"/>
      <c r="AQ84" s="194"/>
      <c r="AR84" s="194"/>
      <c r="AS84" s="194"/>
      <c r="AT84" s="194"/>
      <c r="AU84" s="194"/>
      <c r="AV84" s="194"/>
      <c r="AW84" s="194"/>
      <c r="AX84" s="194"/>
      <c r="AY84" s="194"/>
      <c r="AZ84" s="194"/>
      <c r="BA84" s="194"/>
      <c r="BB84" s="194"/>
      <c r="BC84" s="194"/>
      <c r="BD84" s="194"/>
      <c r="BE84" s="194"/>
      <c r="BF84" s="194"/>
      <c r="BG84" s="194"/>
      <c r="BH84" s="194"/>
      <c r="BI84" s="194"/>
      <c r="BJ84" s="194"/>
      <c r="BK84" s="194"/>
      <c r="BL84" s="194"/>
      <c r="BM84" s="194"/>
      <c r="BN84" s="194"/>
      <c r="BO84" s="194"/>
      <c r="BP84" s="194"/>
      <c r="BQ84" s="194"/>
      <c r="BR84" s="194"/>
      <c r="BS84" s="194"/>
      <c r="BT84" s="194"/>
      <c r="BU84" s="194"/>
      <c r="BV84" s="194"/>
      <c r="BW84" s="194"/>
      <c r="BX84" s="194"/>
      <c r="BY84" s="194"/>
      <c r="BZ84" s="194"/>
      <c r="CA84" s="194"/>
      <c r="CB84" s="194"/>
      <c r="CC84" s="194"/>
      <c r="CD84" s="194"/>
      <c r="CE84" s="194"/>
      <c r="CF84" s="194"/>
      <c r="CG84" s="194"/>
      <c r="CH84" s="194"/>
      <c r="CI84" s="194"/>
      <c r="CJ84" s="194"/>
      <c r="CK84" s="194"/>
      <c r="CL84" s="194"/>
      <c r="CM84" s="194"/>
      <c r="CN84" s="194"/>
      <c r="CO84" s="194"/>
      <c r="CP84" s="48"/>
      <c r="CQ84" s="194"/>
      <c r="CR84" s="194"/>
      <c r="CS84" s="194"/>
      <c r="CT84" s="194"/>
      <c r="CU84" s="194"/>
      <c r="CV84" s="194"/>
      <c r="CW84" s="194"/>
      <c r="CX84" s="194"/>
      <c r="CY84" s="194"/>
      <c r="CZ84" s="194"/>
      <c r="DA84" s="194"/>
      <c r="DB84" s="194"/>
      <c r="DC84" s="194"/>
      <c r="DD84" s="196"/>
      <c r="DE84" s="194"/>
      <c r="DF84" s="194"/>
      <c r="DG84" s="196"/>
      <c r="DH84" s="196"/>
      <c r="DI84" s="196"/>
      <c r="DJ84" s="194"/>
      <c r="DK84" s="194"/>
      <c r="DL84" s="194"/>
      <c r="DM84" s="194"/>
      <c r="DN84" s="194"/>
      <c r="DO84" s="194"/>
      <c r="DP84" s="194"/>
      <c r="DQ84" s="196"/>
      <c r="DR84" s="194"/>
      <c r="DS84" s="196"/>
      <c r="DT84" s="194"/>
      <c r="DU84" s="194"/>
      <c r="DV84" s="194"/>
      <c r="DW84" s="194"/>
      <c r="DX84" s="194"/>
      <c r="DY84" s="194"/>
      <c r="DZ84" s="194"/>
      <c r="EA84" s="194"/>
      <c r="EB84" s="194"/>
      <c r="EC84" s="194"/>
      <c r="ED84" s="194"/>
      <c r="EE84" s="194"/>
      <c r="EF84" s="194"/>
      <c r="EG84" s="194"/>
      <c r="EH84" s="194"/>
      <c r="EI84" s="194"/>
      <c r="EJ84" s="194"/>
      <c r="EK84" s="196"/>
      <c r="EL84" s="196"/>
      <c r="EM84" s="48"/>
      <c r="EN84" s="55"/>
      <c r="EO84" s="48"/>
      <c r="EP84" s="48"/>
      <c r="EQ84" s="196"/>
      <c r="ER84" s="194"/>
      <c r="ES84" s="48"/>
      <c r="ET84" s="194"/>
      <c r="EU84" s="194"/>
      <c r="EV84" s="194"/>
      <c r="EW84" s="211" t="s">
        <v>3913</v>
      </c>
      <c r="EX84" s="211" t="s">
        <v>3980</v>
      </c>
      <c r="EY84" s="211" t="s">
        <v>4042</v>
      </c>
      <c r="EZ84" s="211" t="s">
        <v>4104</v>
      </c>
      <c r="FA84" s="211" t="s">
        <v>4166</v>
      </c>
      <c r="FB84" s="211" t="s">
        <v>4230</v>
      </c>
      <c r="FC84" s="211" t="s">
        <v>4291</v>
      </c>
      <c r="FD84" s="211" t="s">
        <v>4352</v>
      </c>
      <c r="FE84" s="211" t="s">
        <v>4413</v>
      </c>
      <c r="FF84" s="194"/>
      <c r="FG84" s="194"/>
      <c r="FH84" s="194"/>
      <c r="FI84" s="194"/>
      <c r="FJ84" s="55"/>
      <c r="FK84" s="194"/>
      <c r="FL84" s="197"/>
      <c r="FM84" s="194"/>
      <c r="FN84" s="198"/>
      <c r="FO84" s="194"/>
      <c r="FP84" s="198"/>
      <c r="FQ84" s="194"/>
      <c r="FR84" s="43"/>
      <c r="FS84" s="194"/>
      <c r="FT84" s="194"/>
      <c r="FU84" s="194"/>
      <c r="FV84" s="199"/>
      <c r="FW84" s="194"/>
      <c r="FX84" s="200"/>
    </row>
    <row r="85" spans="1:180" ht="15" customHeight="1" x14ac:dyDescent="0.2">
      <c r="A85" s="143" t="s">
        <v>289</v>
      </c>
      <c r="B85" s="189" t="s">
        <v>2878</v>
      </c>
      <c r="C85" s="189" t="s">
        <v>2972</v>
      </c>
      <c r="D85" s="211" t="s">
        <v>3229</v>
      </c>
      <c r="E85" s="53" t="s">
        <v>24</v>
      </c>
      <c r="F85" s="213" t="s">
        <v>24</v>
      </c>
      <c r="G85" s="53"/>
      <c r="H85" s="211" t="s">
        <v>3327</v>
      </c>
      <c r="I85" s="211" t="s">
        <v>3427</v>
      </c>
      <c r="J85" s="211" t="s">
        <v>24</v>
      </c>
      <c r="K85" s="190"/>
      <c r="L85" s="189">
        <v>3</v>
      </c>
      <c r="M85" s="211" t="s">
        <v>3538</v>
      </c>
      <c r="N85" s="211" t="s">
        <v>3638</v>
      </c>
      <c r="O85" s="189" t="s">
        <v>292</v>
      </c>
      <c r="P85" s="189" t="s">
        <v>293</v>
      </c>
      <c r="Q85" s="211">
        <v>27084</v>
      </c>
      <c r="R85" s="189" t="s">
        <v>294</v>
      </c>
      <c r="S85" s="189" t="s">
        <v>3072</v>
      </c>
      <c r="T85" s="189" t="s">
        <v>3133</v>
      </c>
      <c r="U85" s="211">
        <v>9</v>
      </c>
      <c r="V85" s="211" t="s">
        <v>296</v>
      </c>
      <c r="W85" s="211" t="s">
        <v>3730</v>
      </c>
      <c r="X85" s="53"/>
      <c r="Y85" s="211">
        <v>1</v>
      </c>
      <c r="Z85" s="53" t="s">
        <v>298</v>
      </c>
      <c r="AA85" s="189" t="s">
        <v>3142</v>
      </c>
      <c r="AB85" s="189" t="s">
        <v>3146</v>
      </c>
      <c r="AC85" s="211" t="s">
        <v>3831</v>
      </c>
      <c r="AD85" s="164" t="b">
        <v>1</v>
      </c>
      <c r="AE85" s="192"/>
      <c r="AF85" s="193"/>
      <c r="AG85" s="193"/>
      <c r="AH85" s="193"/>
      <c r="AI85" s="193"/>
      <c r="AJ85" s="193"/>
      <c r="AK85" s="193"/>
      <c r="AL85" s="194"/>
      <c r="AM85" s="48"/>
      <c r="AN85" s="48"/>
      <c r="AO85" s="48"/>
      <c r="AP85" s="194"/>
      <c r="AQ85" s="194"/>
      <c r="AR85" s="194"/>
      <c r="AS85" s="194"/>
      <c r="AT85" s="194"/>
      <c r="AU85" s="194"/>
      <c r="AV85" s="194"/>
      <c r="AW85" s="194"/>
      <c r="AX85" s="194"/>
      <c r="AY85" s="194"/>
      <c r="AZ85" s="194"/>
      <c r="BA85" s="194"/>
      <c r="BB85" s="194"/>
      <c r="BC85" s="194"/>
      <c r="BD85" s="194"/>
      <c r="BE85" s="194"/>
      <c r="BF85" s="194"/>
      <c r="BG85" s="194"/>
      <c r="BH85" s="194"/>
      <c r="BI85" s="194"/>
      <c r="BJ85" s="194"/>
      <c r="BK85" s="194"/>
      <c r="BL85" s="194"/>
      <c r="BM85" s="194"/>
      <c r="BN85" s="194"/>
      <c r="BO85" s="194"/>
      <c r="BP85" s="194"/>
      <c r="BQ85" s="194"/>
      <c r="BR85" s="194"/>
      <c r="BS85" s="194"/>
      <c r="BT85" s="194"/>
      <c r="BU85" s="194"/>
      <c r="BV85" s="194"/>
      <c r="BW85" s="194"/>
      <c r="BX85" s="194"/>
      <c r="BY85" s="194"/>
      <c r="BZ85" s="194"/>
      <c r="CA85" s="194"/>
      <c r="CB85" s="194"/>
      <c r="CC85" s="194"/>
      <c r="CD85" s="194"/>
      <c r="CE85" s="194"/>
      <c r="CF85" s="194"/>
      <c r="CG85" s="194"/>
      <c r="CH85" s="194"/>
      <c r="CI85" s="194"/>
      <c r="CJ85" s="194"/>
      <c r="CK85" s="194"/>
      <c r="CL85" s="194"/>
      <c r="CM85" s="194"/>
      <c r="CN85" s="194"/>
      <c r="CO85" s="194"/>
      <c r="CP85" s="48"/>
      <c r="CQ85" s="194"/>
      <c r="CR85" s="194"/>
      <c r="CS85" s="194"/>
      <c r="CT85" s="194"/>
      <c r="CU85" s="194"/>
      <c r="CV85" s="194"/>
      <c r="CW85" s="194"/>
      <c r="CX85" s="194"/>
      <c r="CY85" s="194"/>
      <c r="CZ85" s="194"/>
      <c r="DA85" s="194"/>
      <c r="DB85" s="194"/>
      <c r="DC85" s="194"/>
      <c r="DD85" s="196"/>
      <c r="DE85" s="194"/>
      <c r="DF85" s="194"/>
      <c r="DG85" s="196"/>
      <c r="DH85" s="196"/>
      <c r="DI85" s="196"/>
      <c r="DJ85" s="194"/>
      <c r="DK85" s="194"/>
      <c r="DL85" s="194"/>
      <c r="DM85" s="194"/>
      <c r="DN85" s="194"/>
      <c r="DO85" s="194"/>
      <c r="DP85" s="194"/>
      <c r="DQ85" s="196"/>
      <c r="DR85" s="194"/>
      <c r="DS85" s="196"/>
      <c r="DT85" s="194"/>
      <c r="DU85" s="194"/>
      <c r="DV85" s="194"/>
      <c r="DW85" s="194"/>
      <c r="DX85" s="194"/>
      <c r="DY85" s="194"/>
      <c r="DZ85" s="194"/>
      <c r="EA85" s="194"/>
      <c r="EB85" s="194"/>
      <c r="EC85" s="194"/>
      <c r="ED85" s="194"/>
      <c r="EE85" s="194"/>
      <c r="EF85" s="194"/>
      <c r="EG85" s="194"/>
      <c r="EH85" s="194"/>
      <c r="EI85" s="194"/>
      <c r="EJ85" s="194"/>
      <c r="EK85" s="196"/>
      <c r="EL85" s="196"/>
      <c r="EM85" s="48"/>
      <c r="EN85" s="55"/>
      <c r="EO85" s="48"/>
      <c r="EP85" s="48"/>
      <c r="EQ85" s="196"/>
      <c r="ER85" s="194"/>
      <c r="ES85" s="48"/>
      <c r="ET85" s="194"/>
      <c r="EU85" s="194"/>
      <c r="EV85" s="194"/>
      <c r="EW85" s="211" t="s">
        <v>3914</v>
      </c>
      <c r="EX85" s="211" t="s">
        <v>3977</v>
      </c>
      <c r="EY85" s="211" t="s">
        <v>4039</v>
      </c>
      <c r="EZ85" s="211" t="s">
        <v>4101</v>
      </c>
      <c r="FA85" s="211" t="s">
        <v>4163</v>
      </c>
      <c r="FB85" s="211" t="s">
        <v>4227</v>
      </c>
      <c r="FC85" s="211" t="s">
        <v>4288</v>
      </c>
      <c r="FD85" s="211" t="s">
        <v>4349</v>
      </c>
      <c r="FE85" s="211" t="s">
        <v>4410</v>
      </c>
      <c r="FF85" s="194"/>
      <c r="FG85" s="194"/>
      <c r="FH85" s="194"/>
      <c r="FI85" s="194"/>
      <c r="FJ85" s="55"/>
      <c r="FK85" s="194"/>
      <c r="FL85" s="197"/>
      <c r="FM85" s="194"/>
      <c r="FN85" s="198"/>
      <c r="FO85" s="194"/>
      <c r="FP85" s="198"/>
      <c r="FQ85" s="194"/>
      <c r="FR85" s="43"/>
      <c r="FS85" s="194"/>
      <c r="FT85" s="194"/>
      <c r="FU85" s="194"/>
      <c r="FV85" s="199"/>
      <c r="FW85" s="194"/>
      <c r="FX85" s="200"/>
    </row>
    <row r="86" spans="1:180" ht="15" customHeight="1" x14ac:dyDescent="0.2">
      <c r="A86" s="143" t="s">
        <v>289</v>
      </c>
      <c r="B86" s="189" t="s">
        <v>2879</v>
      </c>
      <c r="C86" s="189" t="s">
        <v>2973</v>
      </c>
      <c r="D86" s="211" t="s">
        <v>3230</v>
      </c>
      <c r="E86" s="53" t="s">
        <v>24</v>
      </c>
      <c r="F86" s="212" t="s">
        <v>755</v>
      </c>
      <c r="G86" s="53"/>
      <c r="H86" s="211" t="s">
        <v>3328</v>
      </c>
      <c r="I86" s="211" t="s">
        <v>3428</v>
      </c>
      <c r="J86" s="211" t="s">
        <v>870</v>
      </c>
      <c r="K86" s="190"/>
      <c r="L86" s="189">
        <v>6</v>
      </c>
      <c r="M86" s="211" t="s">
        <v>3539</v>
      </c>
      <c r="N86" s="211" t="s">
        <v>3639</v>
      </c>
      <c r="O86" s="189" t="s">
        <v>292</v>
      </c>
      <c r="P86" s="189" t="s">
        <v>293</v>
      </c>
      <c r="Q86" s="211">
        <v>27085</v>
      </c>
      <c r="R86" s="189" t="s">
        <v>294</v>
      </c>
      <c r="S86" s="189" t="s">
        <v>3073</v>
      </c>
      <c r="T86" s="189" t="s">
        <v>3116</v>
      </c>
      <c r="U86" s="211">
        <v>15</v>
      </c>
      <c r="V86" s="211" t="s">
        <v>296</v>
      </c>
      <c r="W86" s="211" t="s">
        <v>3731</v>
      </c>
      <c r="X86" s="53"/>
      <c r="Y86" s="211">
        <v>2</v>
      </c>
      <c r="Z86" s="53" t="s">
        <v>298</v>
      </c>
      <c r="AA86" s="189" t="s">
        <v>299</v>
      </c>
      <c r="AB86" s="189" t="s">
        <v>3146</v>
      </c>
      <c r="AC86" s="211" t="s">
        <v>3832</v>
      </c>
      <c r="AD86" s="164" t="b">
        <v>1</v>
      </c>
      <c r="AE86" s="192"/>
      <c r="AF86" s="193"/>
      <c r="AG86" s="193"/>
      <c r="AH86" s="193"/>
      <c r="AI86" s="193"/>
      <c r="AJ86" s="193"/>
      <c r="AK86" s="193"/>
      <c r="AL86" s="194"/>
      <c r="AM86" s="48"/>
      <c r="AN86" s="48"/>
      <c r="AO86" s="48"/>
      <c r="AP86" s="194"/>
      <c r="AQ86" s="194"/>
      <c r="AR86" s="194"/>
      <c r="AS86" s="194"/>
      <c r="AT86" s="194"/>
      <c r="AU86" s="194"/>
      <c r="AV86" s="194"/>
      <c r="AW86" s="194"/>
      <c r="AX86" s="194"/>
      <c r="AY86" s="194"/>
      <c r="AZ86" s="194"/>
      <c r="BA86" s="194"/>
      <c r="BB86" s="194"/>
      <c r="BC86" s="194"/>
      <c r="BD86" s="194"/>
      <c r="BE86" s="194"/>
      <c r="BF86" s="194"/>
      <c r="BG86" s="194"/>
      <c r="BH86" s="194"/>
      <c r="BI86" s="194"/>
      <c r="BJ86" s="194"/>
      <c r="BK86" s="194"/>
      <c r="BL86" s="194"/>
      <c r="BM86" s="194"/>
      <c r="BN86" s="194"/>
      <c r="BO86" s="194"/>
      <c r="BP86" s="194"/>
      <c r="BQ86" s="194"/>
      <c r="BR86" s="194"/>
      <c r="BS86" s="194"/>
      <c r="BT86" s="194"/>
      <c r="BU86" s="194"/>
      <c r="BV86" s="194"/>
      <c r="BW86" s="194"/>
      <c r="BX86" s="194"/>
      <c r="BY86" s="194"/>
      <c r="BZ86" s="194"/>
      <c r="CA86" s="194"/>
      <c r="CB86" s="194"/>
      <c r="CC86" s="194"/>
      <c r="CD86" s="194"/>
      <c r="CE86" s="194"/>
      <c r="CF86" s="194"/>
      <c r="CG86" s="194"/>
      <c r="CH86" s="194"/>
      <c r="CI86" s="194"/>
      <c r="CJ86" s="194"/>
      <c r="CK86" s="194"/>
      <c r="CL86" s="194"/>
      <c r="CM86" s="194"/>
      <c r="CN86" s="194"/>
      <c r="CO86" s="194"/>
      <c r="CP86" s="48"/>
      <c r="CQ86" s="194"/>
      <c r="CR86" s="194"/>
      <c r="CS86" s="194"/>
      <c r="CT86" s="194"/>
      <c r="CU86" s="194"/>
      <c r="CV86" s="194"/>
      <c r="CW86" s="194"/>
      <c r="CX86" s="194"/>
      <c r="CY86" s="194"/>
      <c r="CZ86" s="194"/>
      <c r="DA86" s="194"/>
      <c r="DB86" s="194"/>
      <c r="DC86" s="194"/>
      <c r="DD86" s="196"/>
      <c r="DE86" s="194"/>
      <c r="DF86" s="194"/>
      <c r="DG86" s="196"/>
      <c r="DH86" s="196"/>
      <c r="DI86" s="196"/>
      <c r="DJ86" s="194"/>
      <c r="DK86" s="194"/>
      <c r="DL86" s="194"/>
      <c r="DM86" s="194"/>
      <c r="DN86" s="194"/>
      <c r="DO86" s="194"/>
      <c r="DP86" s="194"/>
      <c r="DQ86" s="196"/>
      <c r="DR86" s="194"/>
      <c r="DS86" s="196"/>
      <c r="DT86" s="194"/>
      <c r="DU86" s="194"/>
      <c r="DV86" s="194"/>
      <c r="DW86" s="194"/>
      <c r="DX86" s="194"/>
      <c r="DY86" s="194"/>
      <c r="DZ86" s="194"/>
      <c r="EA86" s="194"/>
      <c r="EB86" s="194"/>
      <c r="EC86" s="194"/>
      <c r="ED86" s="194"/>
      <c r="EE86" s="194"/>
      <c r="EF86" s="194"/>
      <c r="EG86" s="194"/>
      <c r="EH86" s="194"/>
      <c r="EI86" s="194"/>
      <c r="EJ86" s="194"/>
      <c r="EK86" s="196"/>
      <c r="EL86" s="196"/>
      <c r="EM86" s="48"/>
      <c r="EN86" s="55"/>
      <c r="EO86" s="48"/>
      <c r="EP86" s="48"/>
      <c r="EQ86" s="196"/>
      <c r="ER86" s="194"/>
      <c r="ES86" s="48"/>
      <c r="ET86" s="194"/>
      <c r="EU86" s="194"/>
      <c r="EV86" s="194"/>
      <c r="EW86" s="211" t="s">
        <v>3915</v>
      </c>
      <c r="EX86" s="211" t="s">
        <v>3963</v>
      </c>
      <c r="EY86" s="211" t="s">
        <v>4025</v>
      </c>
      <c r="EZ86" s="211" t="s">
        <v>4087</v>
      </c>
      <c r="FA86" s="211" t="s">
        <v>4149</v>
      </c>
      <c r="FB86" s="211" t="s">
        <v>4213</v>
      </c>
      <c r="FC86" s="211" t="s">
        <v>4274</v>
      </c>
      <c r="FD86" s="211" t="s">
        <v>4335</v>
      </c>
      <c r="FE86" s="211" t="s">
        <v>4396</v>
      </c>
      <c r="FF86" s="194"/>
      <c r="FG86" s="194"/>
      <c r="FH86" s="194"/>
      <c r="FI86" s="194"/>
      <c r="FJ86" s="55"/>
      <c r="FK86" s="194"/>
      <c r="FL86" s="197"/>
      <c r="FM86" s="194"/>
      <c r="FN86" s="198"/>
      <c r="FO86" s="194"/>
      <c r="FP86" s="198"/>
      <c r="FQ86" s="194"/>
      <c r="FR86" s="43"/>
      <c r="FS86" s="194"/>
      <c r="FT86" s="194"/>
      <c r="FU86" s="194"/>
      <c r="FV86" s="199"/>
      <c r="FW86" s="194"/>
      <c r="FX86" s="200"/>
    </row>
    <row r="87" spans="1:180" ht="15" customHeight="1" x14ac:dyDescent="0.2">
      <c r="A87" s="184" t="s">
        <v>289</v>
      </c>
      <c r="B87" s="189" t="s">
        <v>2880</v>
      </c>
      <c r="C87" s="189" t="s">
        <v>2974</v>
      </c>
      <c r="D87" s="211" t="s">
        <v>3147</v>
      </c>
      <c r="E87" s="53" t="s">
        <v>698</v>
      </c>
      <c r="F87" s="212" t="s">
        <v>24</v>
      </c>
      <c r="G87" s="53"/>
      <c r="H87" s="211" t="s">
        <v>3329</v>
      </c>
      <c r="I87" s="211" t="s">
        <v>3429</v>
      </c>
      <c r="J87" s="211" t="s">
        <v>472</v>
      </c>
      <c r="K87" s="190"/>
      <c r="L87" s="189">
        <v>4</v>
      </c>
      <c r="M87" s="211" t="s">
        <v>3540</v>
      </c>
      <c r="N87" s="211" t="s">
        <v>3640</v>
      </c>
      <c r="O87" s="189" t="s">
        <v>292</v>
      </c>
      <c r="P87" s="189" t="s">
        <v>293</v>
      </c>
      <c r="Q87" s="211">
        <v>27086</v>
      </c>
      <c r="R87" s="189" t="s">
        <v>294</v>
      </c>
      <c r="S87" s="189" t="s">
        <v>3074</v>
      </c>
      <c r="T87" s="189" t="s">
        <v>3134</v>
      </c>
      <c r="U87" s="211">
        <v>7</v>
      </c>
      <c r="V87" s="211" t="s">
        <v>296</v>
      </c>
      <c r="W87" s="211" t="s">
        <v>3732</v>
      </c>
      <c r="X87" s="53"/>
      <c r="Y87" s="211">
        <v>1</v>
      </c>
      <c r="Z87" s="53" t="s">
        <v>298</v>
      </c>
      <c r="AA87" s="189" t="s">
        <v>3142</v>
      </c>
      <c r="AB87" s="189" t="s">
        <v>3144</v>
      </c>
      <c r="AC87" s="211" t="s">
        <v>3833</v>
      </c>
      <c r="AD87" s="164" t="b">
        <v>1</v>
      </c>
      <c r="AE87" s="192"/>
      <c r="AF87" s="193"/>
      <c r="AG87" s="193"/>
      <c r="AH87" s="193"/>
      <c r="AI87" s="193"/>
      <c r="AJ87" s="193"/>
      <c r="AK87" s="193"/>
      <c r="AL87" s="194"/>
      <c r="AM87" s="48"/>
      <c r="AN87" s="48"/>
      <c r="AO87" s="48"/>
      <c r="AP87" s="194"/>
      <c r="AQ87" s="194"/>
      <c r="AR87" s="194"/>
      <c r="AS87" s="194"/>
      <c r="AT87" s="194"/>
      <c r="AU87" s="194"/>
      <c r="AV87" s="194"/>
      <c r="AW87" s="194"/>
      <c r="AX87" s="194"/>
      <c r="AY87" s="194"/>
      <c r="AZ87" s="194"/>
      <c r="BA87" s="194"/>
      <c r="BB87" s="194"/>
      <c r="BC87" s="194"/>
      <c r="BD87" s="194"/>
      <c r="BE87" s="194"/>
      <c r="BF87" s="194"/>
      <c r="BG87" s="194"/>
      <c r="BH87" s="194"/>
      <c r="BI87" s="194"/>
      <c r="BJ87" s="194"/>
      <c r="BK87" s="194"/>
      <c r="BL87" s="194"/>
      <c r="BM87" s="194"/>
      <c r="BN87" s="194"/>
      <c r="BO87" s="194"/>
      <c r="BP87" s="194"/>
      <c r="BQ87" s="194"/>
      <c r="BR87" s="194"/>
      <c r="BS87" s="194"/>
      <c r="BT87" s="194"/>
      <c r="BU87" s="194"/>
      <c r="BV87" s="194"/>
      <c r="BW87" s="194"/>
      <c r="BX87" s="194"/>
      <c r="BY87" s="194"/>
      <c r="BZ87" s="194"/>
      <c r="CA87" s="194"/>
      <c r="CB87" s="194"/>
      <c r="CC87" s="194"/>
      <c r="CD87" s="194"/>
      <c r="CE87" s="194"/>
      <c r="CF87" s="194"/>
      <c r="CG87" s="194"/>
      <c r="CH87" s="194"/>
      <c r="CI87" s="194"/>
      <c r="CJ87" s="194"/>
      <c r="CK87" s="194"/>
      <c r="CL87" s="194"/>
      <c r="CM87" s="194"/>
      <c r="CN87" s="194"/>
      <c r="CO87" s="194"/>
      <c r="CP87" s="48"/>
      <c r="CQ87" s="194"/>
      <c r="CR87" s="194"/>
      <c r="CS87" s="194"/>
      <c r="CT87" s="194"/>
      <c r="CU87" s="194"/>
      <c r="CV87" s="194"/>
      <c r="CW87" s="194"/>
      <c r="CX87" s="194"/>
      <c r="CY87" s="194"/>
      <c r="CZ87" s="194"/>
      <c r="DA87" s="194"/>
      <c r="DB87" s="194"/>
      <c r="DC87" s="194"/>
      <c r="DD87" s="196"/>
      <c r="DE87" s="194"/>
      <c r="DF87" s="194"/>
      <c r="DG87" s="196"/>
      <c r="DH87" s="196"/>
      <c r="DI87" s="196"/>
      <c r="DJ87" s="194"/>
      <c r="DK87" s="194"/>
      <c r="DL87" s="194"/>
      <c r="DM87" s="194"/>
      <c r="DN87" s="194"/>
      <c r="DO87" s="194"/>
      <c r="DP87" s="194"/>
      <c r="DQ87" s="196"/>
      <c r="DR87" s="194"/>
      <c r="DS87" s="196"/>
      <c r="DT87" s="194"/>
      <c r="DU87" s="194"/>
      <c r="DV87" s="194"/>
      <c r="DW87" s="194"/>
      <c r="DX87" s="194"/>
      <c r="DY87" s="194"/>
      <c r="DZ87" s="194"/>
      <c r="EA87" s="194"/>
      <c r="EB87" s="194"/>
      <c r="EC87" s="194"/>
      <c r="ED87" s="194"/>
      <c r="EE87" s="194"/>
      <c r="EF87" s="194"/>
      <c r="EG87" s="194"/>
      <c r="EH87" s="194"/>
      <c r="EI87" s="194"/>
      <c r="EJ87" s="194"/>
      <c r="EK87" s="196"/>
      <c r="EL87" s="196"/>
      <c r="EM87" s="48"/>
      <c r="EN87" s="55"/>
      <c r="EO87" s="48"/>
      <c r="EP87" s="48"/>
      <c r="EQ87" s="196"/>
      <c r="ER87" s="194"/>
      <c r="ES87" s="48"/>
      <c r="ET87" s="194"/>
      <c r="EU87" s="194"/>
      <c r="EV87" s="194"/>
      <c r="EW87" s="211" t="s">
        <v>3853</v>
      </c>
      <c r="EX87" s="211" t="s">
        <v>3938</v>
      </c>
      <c r="EY87" s="211" t="s">
        <v>4000</v>
      </c>
      <c r="EZ87" s="211" t="s">
        <v>4062</v>
      </c>
      <c r="FA87" s="211" t="s">
        <v>4124</v>
      </c>
      <c r="FB87" s="211" t="s">
        <v>4188</v>
      </c>
      <c r="FC87" s="211" t="s">
        <v>4249</v>
      </c>
      <c r="FD87" s="211" t="s">
        <v>4310</v>
      </c>
      <c r="FE87" s="211" t="s">
        <v>4371</v>
      </c>
      <c r="FF87" s="194"/>
      <c r="FG87" s="194"/>
      <c r="FH87" s="194"/>
      <c r="FI87" s="194"/>
      <c r="FJ87" s="55"/>
      <c r="FK87" s="194"/>
      <c r="FL87" s="197"/>
      <c r="FM87" s="194"/>
      <c r="FN87" s="198"/>
      <c r="FO87" s="194"/>
      <c r="FP87" s="198"/>
      <c r="FQ87" s="194"/>
      <c r="FR87" s="43"/>
      <c r="FS87" s="194"/>
      <c r="FT87" s="194"/>
      <c r="FU87" s="194"/>
      <c r="FV87" s="199"/>
      <c r="FW87" s="194"/>
      <c r="FX87" s="200"/>
    </row>
    <row r="88" spans="1:180" ht="15" customHeight="1" x14ac:dyDescent="0.2">
      <c r="A88" s="143" t="s">
        <v>289</v>
      </c>
      <c r="B88" s="189" t="s">
        <v>2869</v>
      </c>
      <c r="C88" s="189" t="s">
        <v>2975</v>
      </c>
      <c r="D88" s="211" t="s">
        <v>3231</v>
      </c>
      <c r="E88" s="70" t="s">
        <v>24</v>
      </c>
      <c r="F88" s="213" t="s">
        <v>24</v>
      </c>
      <c r="G88" s="53"/>
      <c r="H88" s="211" t="s">
        <v>3330</v>
      </c>
      <c r="I88" s="211" t="s">
        <v>3430</v>
      </c>
      <c r="J88" s="211" t="s">
        <v>833</v>
      </c>
      <c r="K88" s="190"/>
      <c r="L88" s="189">
        <v>6</v>
      </c>
      <c r="M88" s="211" t="s">
        <v>3541</v>
      </c>
      <c r="N88" s="211" t="s">
        <v>3641</v>
      </c>
      <c r="O88" s="189" t="s">
        <v>292</v>
      </c>
      <c r="P88" s="189" t="s">
        <v>293</v>
      </c>
      <c r="Q88" s="211">
        <v>27087</v>
      </c>
      <c r="R88" s="189" t="s">
        <v>294</v>
      </c>
      <c r="S88" s="189" t="s">
        <v>3075</v>
      </c>
      <c r="T88" s="189" t="s">
        <v>3135</v>
      </c>
      <c r="U88" s="211">
        <v>11</v>
      </c>
      <c r="V88" s="211" t="s">
        <v>296</v>
      </c>
      <c r="W88" s="211" t="s">
        <v>3733</v>
      </c>
      <c r="X88" s="53"/>
      <c r="Y88" s="211">
        <v>1</v>
      </c>
      <c r="Z88" s="53" t="s">
        <v>298</v>
      </c>
      <c r="AA88" s="189" t="s">
        <v>3142</v>
      </c>
      <c r="AB88" s="189" t="s">
        <v>766</v>
      </c>
      <c r="AC88" s="211" t="s">
        <v>3834</v>
      </c>
      <c r="AD88" s="164" t="b">
        <v>1</v>
      </c>
      <c r="AE88" s="192"/>
      <c r="AF88" s="193"/>
      <c r="AG88" s="193"/>
      <c r="AH88" s="193"/>
      <c r="AI88" s="193"/>
      <c r="AJ88" s="193"/>
      <c r="AK88" s="193"/>
      <c r="AL88" s="194"/>
      <c r="AM88" s="48"/>
      <c r="AN88" s="48"/>
      <c r="AO88" s="48"/>
      <c r="AP88" s="194"/>
      <c r="AQ88" s="194"/>
      <c r="AR88" s="194"/>
      <c r="AS88" s="194"/>
      <c r="AT88" s="194"/>
      <c r="AU88" s="194"/>
      <c r="AV88" s="194"/>
      <c r="AW88" s="194"/>
      <c r="AX88" s="194"/>
      <c r="AY88" s="194"/>
      <c r="AZ88" s="194"/>
      <c r="BA88" s="194"/>
      <c r="BB88" s="194"/>
      <c r="BC88" s="194"/>
      <c r="BD88" s="194"/>
      <c r="BE88" s="194"/>
      <c r="BF88" s="194"/>
      <c r="BG88" s="194"/>
      <c r="BH88" s="194"/>
      <c r="BI88" s="194"/>
      <c r="BJ88" s="194"/>
      <c r="BK88" s="194"/>
      <c r="BL88" s="194"/>
      <c r="BM88" s="194"/>
      <c r="BN88" s="194"/>
      <c r="BO88" s="194"/>
      <c r="BP88" s="194"/>
      <c r="BQ88" s="194"/>
      <c r="BR88" s="194"/>
      <c r="BS88" s="194"/>
      <c r="BT88" s="194"/>
      <c r="BU88" s="194"/>
      <c r="BV88" s="194"/>
      <c r="BW88" s="194"/>
      <c r="BX88" s="194"/>
      <c r="BY88" s="194"/>
      <c r="BZ88" s="194"/>
      <c r="CA88" s="194"/>
      <c r="CB88" s="194"/>
      <c r="CC88" s="194"/>
      <c r="CD88" s="194"/>
      <c r="CE88" s="194"/>
      <c r="CF88" s="194"/>
      <c r="CG88" s="194"/>
      <c r="CH88" s="194"/>
      <c r="CI88" s="194"/>
      <c r="CJ88" s="194"/>
      <c r="CK88" s="194"/>
      <c r="CL88" s="194"/>
      <c r="CM88" s="194"/>
      <c r="CN88" s="194"/>
      <c r="CO88" s="194"/>
      <c r="CP88" s="48"/>
      <c r="CQ88" s="194"/>
      <c r="CR88" s="194"/>
      <c r="CS88" s="194"/>
      <c r="CT88" s="194"/>
      <c r="CU88" s="194"/>
      <c r="CV88" s="194"/>
      <c r="CW88" s="194"/>
      <c r="CX88" s="194"/>
      <c r="CY88" s="194"/>
      <c r="CZ88" s="194"/>
      <c r="DA88" s="194"/>
      <c r="DB88" s="194"/>
      <c r="DC88" s="194"/>
      <c r="DD88" s="196"/>
      <c r="DE88" s="194"/>
      <c r="DF88" s="194"/>
      <c r="DG88" s="196"/>
      <c r="DH88" s="196"/>
      <c r="DI88" s="196"/>
      <c r="DJ88" s="194"/>
      <c r="DK88" s="194"/>
      <c r="DL88" s="194"/>
      <c r="DM88" s="194"/>
      <c r="DN88" s="194"/>
      <c r="DO88" s="194"/>
      <c r="DP88" s="194"/>
      <c r="DQ88" s="196"/>
      <c r="DR88" s="194"/>
      <c r="DS88" s="196"/>
      <c r="DT88" s="194"/>
      <c r="DU88" s="194"/>
      <c r="DV88" s="194"/>
      <c r="DW88" s="194"/>
      <c r="DX88" s="194"/>
      <c r="DY88" s="194"/>
      <c r="DZ88" s="194"/>
      <c r="EA88" s="194"/>
      <c r="EB88" s="194"/>
      <c r="EC88" s="194"/>
      <c r="ED88" s="194"/>
      <c r="EE88" s="194"/>
      <c r="EF88" s="194"/>
      <c r="EG88" s="194"/>
      <c r="EH88" s="194"/>
      <c r="EI88" s="194"/>
      <c r="EJ88" s="194"/>
      <c r="EK88" s="196"/>
      <c r="EL88" s="196"/>
      <c r="EM88" s="48"/>
      <c r="EN88" s="55"/>
      <c r="EO88" s="48"/>
      <c r="EP88" s="48"/>
      <c r="EQ88" s="196"/>
      <c r="ER88" s="194"/>
      <c r="ES88" s="48"/>
      <c r="ET88" s="194"/>
      <c r="EU88" s="194"/>
      <c r="EV88" s="194"/>
      <c r="EW88" s="211" t="s">
        <v>3916</v>
      </c>
      <c r="EX88" s="211" t="s">
        <v>3981</v>
      </c>
      <c r="EY88" s="211" t="s">
        <v>4043</v>
      </c>
      <c r="EZ88" s="211" t="s">
        <v>4105</v>
      </c>
      <c r="FA88" s="211" t="s">
        <v>4167</v>
      </c>
      <c r="FB88" s="211" t="s">
        <v>4231</v>
      </c>
      <c r="FC88" s="211" t="s">
        <v>4292</v>
      </c>
      <c r="FD88" s="211" t="s">
        <v>4353</v>
      </c>
      <c r="FE88" s="211" t="s">
        <v>4414</v>
      </c>
      <c r="FF88" s="194"/>
      <c r="FG88" s="194"/>
      <c r="FH88" s="194"/>
      <c r="FI88" s="194"/>
      <c r="FJ88" s="55"/>
      <c r="FK88" s="194"/>
      <c r="FL88" s="197"/>
      <c r="FM88" s="194"/>
      <c r="FN88" s="198"/>
      <c r="FO88" s="194"/>
      <c r="FP88" s="198"/>
      <c r="FQ88" s="194"/>
      <c r="FR88" s="43"/>
      <c r="FS88" s="194"/>
      <c r="FT88" s="194"/>
      <c r="FU88" s="194"/>
      <c r="FV88" s="199"/>
      <c r="FW88" s="194"/>
      <c r="FX88" s="200"/>
    </row>
    <row r="89" spans="1:180" ht="15" customHeight="1" x14ac:dyDescent="0.2">
      <c r="A89" s="96" t="s">
        <v>289</v>
      </c>
      <c r="B89" s="189" t="s">
        <v>2881</v>
      </c>
      <c r="C89" s="189" t="s">
        <v>2976</v>
      </c>
      <c r="D89" s="211" t="s">
        <v>3232</v>
      </c>
      <c r="E89" s="53" t="s">
        <v>472</v>
      </c>
      <c r="F89" s="212" t="s">
        <v>24</v>
      </c>
      <c r="G89" s="53"/>
      <c r="H89" s="211" t="s">
        <v>3331</v>
      </c>
      <c r="I89" s="211" t="s">
        <v>3431</v>
      </c>
      <c r="J89" s="211" t="s">
        <v>24</v>
      </c>
      <c r="K89" s="211" t="s">
        <v>3452</v>
      </c>
      <c r="L89" s="189">
        <v>4</v>
      </c>
      <c r="M89" s="211" t="s">
        <v>3542</v>
      </c>
      <c r="N89" s="211" t="s">
        <v>3642</v>
      </c>
      <c r="O89" s="189" t="s">
        <v>292</v>
      </c>
      <c r="P89" s="189" t="s">
        <v>293</v>
      </c>
      <c r="Q89" s="211">
        <v>27088</v>
      </c>
      <c r="R89" s="189" t="s">
        <v>294</v>
      </c>
      <c r="S89" s="189" t="s">
        <v>3076</v>
      </c>
      <c r="T89" s="189" t="s">
        <v>3097</v>
      </c>
      <c r="U89" s="211">
        <v>6</v>
      </c>
      <c r="V89" s="211" t="s">
        <v>296</v>
      </c>
      <c r="W89" s="211" t="s">
        <v>3734</v>
      </c>
      <c r="X89" s="53"/>
      <c r="Y89" s="211">
        <v>1</v>
      </c>
      <c r="Z89" s="89" t="s">
        <v>298</v>
      </c>
      <c r="AA89" s="189" t="s">
        <v>3143</v>
      </c>
      <c r="AB89" s="189" t="s">
        <v>3145</v>
      </c>
      <c r="AC89" s="211" t="s">
        <v>3835</v>
      </c>
      <c r="AD89" s="164" t="b">
        <v>1</v>
      </c>
      <c r="AE89" s="192"/>
      <c r="AF89" s="193"/>
      <c r="AG89" s="193"/>
      <c r="AH89" s="193"/>
      <c r="AI89" s="193"/>
      <c r="AJ89" s="193"/>
      <c r="AK89" s="193"/>
      <c r="AL89" s="194"/>
      <c r="AM89" s="48"/>
      <c r="AN89" s="48"/>
      <c r="AO89" s="48"/>
      <c r="AP89" s="194"/>
      <c r="AQ89" s="194"/>
      <c r="AR89" s="194"/>
      <c r="AS89" s="194"/>
      <c r="AT89" s="194"/>
      <c r="AU89" s="194"/>
      <c r="AV89" s="194"/>
      <c r="AW89" s="194"/>
      <c r="AX89" s="194"/>
      <c r="AY89" s="194"/>
      <c r="AZ89" s="194"/>
      <c r="BA89" s="194"/>
      <c r="BB89" s="194"/>
      <c r="BC89" s="194"/>
      <c r="BD89" s="194"/>
      <c r="BE89" s="194"/>
      <c r="BF89" s="194"/>
      <c r="BG89" s="194"/>
      <c r="BH89" s="194"/>
      <c r="BI89" s="194"/>
      <c r="BJ89" s="194"/>
      <c r="BK89" s="194"/>
      <c r="BL89" s="194"/>
      <c r="BM89" s="194"/>
      <c r="BN89" s="194"/>
      <c r="BO89" s="194"/>
      <c r="BP89" s="194"/>
      <c r="BQ89" s="194"/>
      <c r="BR89" s="194"/>
      <c r="BS89" s="194"/>
      <c r="BT89" s="194"/>
      <c r="BU89" s="194"/>
      <c r="BV89" s="194"/>
      <c r="BW89" s="194"/>
      <c r="BX89" s="194"/>
      <c r="BY89" s="194"/>
      <c r="BZ89" s="194"/>
      <c r="CA89" s="194"/>
      <c r="CB89" s="194"/>
      <c r="CC89" s="194"/>
      <c r="CD89" s="194"/>
      <c r="CE89" s="194"/>
      <c r="CF89" s="194"/>
      <c r="CG89" s="194"/>
      <c r="CH89" s="194"/>
      <c r="CI89" s="194"/>
      <c r="CJ89" s="194"/>
      <c r="CK89" s="194"/>
      <c r="CL89" s="194"/>
      <c r="CM89" s="194"/>
      <c r="CN89" s="194"/>
      <c r="CO89" s="194"/>
      <c r="CP89" s="48"/>
      <c r="CQ89" s="194"/>
      <c r="CR89" s="194"/>
      <c r="CS89" s="194"/>
      <c r="CT89" s="194"/>
      <c r="CU89" s="194"/>
      <c r="CV89" s="194"/>
      <c r="CW89" s="194"/>
      <c r="CX89" s="194"/>
      <c r="CY89" s="194"/>
      <c r="CZ89" s="194"/>
      <c r="DA89" s="194"/>
      <c r="DB89" s="194"/>
      <c r="DC89" s="194"/>
      <c r="DD89" s="196"/>
      <c r="DE89" s="194"/>
      <c r="DF89" s="194"/>
      <c r="DG89" s="196"/>
      <c r="DH89" s="196"/>
      <c r="DI89" s="196"/>
      <c r="DJ89" s="194"/>
      <c r="DK89" s="194"/>
      <c r="DL89" s="194"/>
      <c r="DM89" s="194"/>
      <c r="DN89" s="194"/>
      <c r="DO89" s="194"/>
      <c r="DP89" s="194"/>
      <c r="DQ89" s="196"/>
      <c r="DR89" s="194"/>
      <c r="DS89" s="196"/>
      <c r="DT89" s="194"/>
      <c r="DU89" s="194"/>
      <c r="DV89" s="194"/>
      <c r="DW89" s="194"/>
      <c r="DX89" s="194"/>
      <c r="DY89" s="194"/>
      <c r="DZ89" s="194"/>
      <c r="EA89" s="194"/>
      <c r="EB89" s="194"/>
      <c r="EC89" s="194"/>
      <c r="ED89" s="194"/>
      <c r="EE89" s="194"/>
      <c r="EF89" s="194"/>
      <c r="EG89" s="194"/>
      <c r="EH89" s="194"/>
      <c r="EI89" s="194"/>
      <c r="EJ89" s="194"/>
      <c r="EK89" s="196"/>
      <c r="EL89" s="196"/>
      <c r="EM89" s="48"/>
      <c r="EN89" s="55"/>
      <c r="EO89" s="48"/>
      <c r="EP89" s="48"/>
      <c r="EQ89" s="196"/>
      <c r="ER89" s="194"/>
      <c r="ES89" s="48"/>
      <c r="ET89" s="194"/>
      <c r="EU89" s="194"/>
      <c r="EV89" s="194"/>
      <c r="EW89" s="211" t="s">
        <v>3897</v>
      </c>
      <c r="EX89" s="211" t="s">
        <v>3956</v>
      </c>
      <c r="EY89" s="211" t="s">
        <v>4018</v>
      </c>
      <c r="EZ89" s="211" t="s">
        <v>4080</v>
      </c>
      <c r="FA89" s="211" t="s">
        <v>4142</v>
      </c>
      <c r="FB89" s="211" t="s">
        <v>4206</v>
      </c>
      <c r="FC89" s="211" t="s">
        <v>4267</v>
      </c>
      <c r="FD89" s="211" t="s">
        <v>4328</v>
      </c>
      <c r="FE89" s="211" t="s">
        <v>4389</v>
      </c>
      <c r="FF89" s="194"/>
      <c r="FG89" s="194"/>
      <c r="FH89" s="194"/>
      <c r="FI89" s="194"/>
      <c r="FJ89" s="55"/>
      <c r="FK89" s="194"/>
      <c r="FL89" s="197"/>
      <c r="FM89" s="194"/>
      <c r="FN89" s="198"/>
      <c r="FO89" s="194"/>
      <c r="FP89" s="198"/>
      <c r="FQ89" s="194"/>
      <c r="FR89" s="43"/>
      <c r="FS89" s="194"/>
      <c r="FT89" s="194"/>
      <c r="FU89" s="194"/>
      <c r="FV89" s="199"/>
      <c r="FW89" s="194"/>
      <c r="FX89" s="200"/>
    </row>
    <row r="90" spans="1:180" ht="15" customHeight="1" x14ac:dyDescent="0.2">
      <c r="A90" s="68" t="s">
        <v>289</v>
      </c>
      <c r="B90" s="189" t="s">
        <v>2818</v>
      </c>
      <c r="C90" s="189" t="s">
        <v>2977</v>
      </c>
      <c r="D90" s="211" t="s">
        <v>3233</v>
      </c>
      <c r="E90" s="53" t="s">
        <v>24</v>
      </c>
      <c r="F90" s="213" t="s">
        <v>407</v>
      </c>
      <c r="G90" s="53"/>
      <c r="H90" s="211" t="s">
        <v>3332</v>
      </c>
      <c r="I90" s="211" t="s">
        <v>3432</v>
      </c>
      <c r="J90" s="211" t="s">
        <v>472</v>
      </c>
      <c r="K90" s="211" t="s">
        <v>3453</v>
      </c>
      <c r="L90" s="189">
        <v>1</v>
      </c>
      <c r="M90" s="211" t="s">
        <v>3543</v>
      </c>
      <c r="N90" s="211" t="s">
        <v>3643</v>
      </c>
      <c r="O90" s="189" t="s">
        <v>292</v>
      </c>
      <c r="P90" s="189" t="s">
        <v>293</v>
      </c>
      <c r="Q90" s="211">
        <v>27089</v>
      </c>
      <c r="R90" s="189" t="s">
        <v>294</v>
      </c>
      <c r="S90" s="189" t="s">
        <v>3077</v>
      </c>
      <c r="T90" s="189" t="s">
        <v>3128</v>
      </c>
      <c r="U90" s="211">
        <v>13</v>
      </c>
      <c r="V90" s="211" t="s">
        <v>296</v>
      </c>
      <c r="W90" s="211" t="s">
        <v>3735</v>
      </c>
      <c r="X90" s="53"/>
      <c r="Y90" s="211">
        <v>1</v>
      </c>
      <c r="Z90" s="53" t="s">
        <v>535</v>
      </c>
      <c r="AA90" s="189" t="s">
        <v>3143</v>
      </c>
      <c r="AB90" s="189" t="s">
        <v>410</v>
      </c>
      <c r="AC90" s="211" t="s">
        <v>3836</v>
      </c>
      <c r="AD90" s="164" t="b">
        <v>0</v>
      </c>
      <c r="AE90" s="192"/>
      <c r="AF90" s="193"/>
      <c r="AG90" s="193"/>
      <c r="AH90" s="193"/>
      <c r="AI90" s="193"/>
      <c r="AJ90" s="193"/>
      <c r="AK90" s="193"/>
      <c r="AL90" s="194"/>
      <c r="AM90" s="48"/>
      <c r="AN90" s="48"/>
      <c r="AO90" s="48"/>
      <c r="AP90" s="194"/>
      <c r="AQ90" s="194"/>
      <c r="AR90" s="194"/>
      <c r="AS90" s="194"/>
      <c r="AT90" s="194"/>
      <c r="AU90" s="194"/>
      <c r="AV90" s="194"/>
      <c r="AW90" s="194"/>
      <c r="AX90" s="194"/>
      <c r="AY90" s="194"/>
      <c r="AZ90" s="194"/>
      <c r="BA90" s="194"/>
      <c r="BB90" s="194"/>
      <c r="BC90" s="194"/>
      <c r="BD90" s="194"/>
      <c r="BE90" s="194"/>
      <c r="BF90" s="194"/>
      <c r="BG90" s="194"/>
      <c r="BH90" s="194"/>
      <c r="BI90" s="194"/>
      <c r="BJ90" s="194"/>
      <c r="BK90" s="194"/>
      <c r="BL90" s="194"/>
      <c r="BM90" s="194"/>
      <c r="BN90" s="194"/>
      <c r="BO90" s="194"/>
      <c r="BP90" s="194"/>
      <c r="BQ90" s="194"/>
      <c r="BR90" s="194"/>
      <c r="BS90" s="194"/>
      <c r="BT90" s="194"/>
      <c r="BU90" s="194"/>
      <c r="BV90" s="194"/>
      <c r="BW90" s="194"/>
      <c r="BX90" s="194"/>
      <c r="BY90" s="194"/>
      <c r="BZ90" s="194"/>
      <c r="CA90" s="194"/>
      <c r="CB90" s="194"/>
      <c r="CC90" s="194"/>
      <c r="CD90" s="194"/>
      <c r="CE90" s="194"/>
      <c r="CF90" s="194"/>
      <c r="CG90" s="194"/>
      <c r="CH90" s="194"/>
      <c r="CI90" s="194"/>
      <c r="CJ90" s="194"/>
      <c r="CK90" s="194"/>
      <c r="CL90" s="194"/>
      <c r="CM90" s="194"/>
      <c r="CN90" s="194"/>
      <c r="CO90" s="194"/>
      <c r="CP90" s="48"/>
      <c r="CQ90" s="194"/>
      <c r="CR90" s="194"/>
      <c r="CS90" s="194"/>
      <c r="CT90" s="194"/>
      <c r="CU90" s="194"/>
      <c r="CV90" s="194"/>
      <c r="CW90" s="194"/>
      <c r="CX90" s="194"/>
      <c r="CY90" s="194"/>
      <c r="CZ90" s="194"/>
      <c r="DA90" s="194"/>
      <c r="DB90" s="194"/>
      <c r="DC90" s="194"/>
      <c r="DD90" s="196"/>
      <c r="DE90" s="194"/>
      <c r="DF90" s="194"/>
      <c r="DG90" s="196"/>
      <c r="DH90" s="196"/>
      <c r="DI90" s="196"/>
      <c r="DJ90" s="194"/>
      <c r="DK90" s="194"/>
      <c r="DL90" s="194"/>
      <c r="DM90" s="194"/>
      <c r="DN90" s="194"/>
      <c r="DO90" s="194"/>
      <c r="DP90" s="194"/>
      <c r="DQ90" s="196"/>
      <c r="DR90" s="194"/>
      <c r="DS90" s="196"/>
      <c r="DT90" s="194"/>
      <c r="DU90" s="194"/>
      <c r="DV90" s="194"/>
      <c r="DW90" s="194"/>
      <c r="DX90" s="194"/>
      <c r="DY90" s="194"/>
      <c r="DZ90" s="194"/>
      <c r="EA90" s="194"/>
      <c r="EB90" s="194"/>
      <c r="EC90" s="194"/>
      <c r="ED90" s="194"/>
      <c r="EE90" s="194"/>
      <c r="EF90" s="194"/>
      <c r="EG90" s="194"/>
      <c r="EH90" s="194"/>
      <c r="EI90" s="194"/>
      <c r="EJ90" s="194"/>
      <c r="EK90" s="196"/>
      <c r="EL90" s="196"/>
      <c r="EM90" s="48"/>
      <c r="EN90" s="55"/>
      <c r="EO90" s="48"/>
      <c r="EP90" s="48"/>
      <c r="EQ90" s="196"/>
      <c r="ER90" s="194"/>
      <c r="ES90" s="48"/>
      <c r="ET90" s="194"/>
      <c r="EU90" s="194"/>
      <c r="EV90" s="194"/>
      <c r="EW90" s="211" t="s">
        <v>3917</v>
      </c>
      <c r="EX90" s="211" t="s">
        <v>3965</v>
      </c>
      <c r="EY90" s="211" t="s">
        <v>4027</v>
      </c>
      <c r="EZ90" s="211" t="s">
        <v>4089</v>
      </c>
      <c r="FA90" s="211" t="s">
        <v>4151</v>
      </c>
      <c r="FB90" s="211" t="s">
        <v>4215</v>
      </c>
      <c r="FC90" s="211" t="s">
        <v>4276</v>
      </c>
      <c r="FD90" s="211" t="s">
        <v>4337</v>
      </c>
      <c r="FE90" s="211" t="s">
        <v>4398</v>
      </c>
      <c r="FF90" s="194"/>
      <c r="FG90" s="194"/>
      <c r="FH90" s="194"/>
      <c r="FI90" s="194"/>
      <c r="FJ90" s="55"/>
      <c r="FK90" s="194"/>
      <c r="FL90" s="197"/>
      <c r="FM90" s="194"/>
      <c r="FN90" s="198"/>
      <c r="FO90" s="194"/>
      <c r="FP90" s="198"/>
      <c r="FQ90" s="194"/>
      <c r="FR90" s="43"/>
      <c r="FS90" s="194"/>
      <c r="FT90" s="194"/>
      <c r="FU90" s="194"/>
      <c r="FV90" s="199"/>
      <c r="FW90" s="194"/>
      <c r="FX90" s="200"/>
    </row>
    <row r="91" spans="1:180" ht="15" customHeight="1" x14ac:dyDescent="0.2">
      <c r="A91" s="143" t="s">
        <v>289</v>
      </c>
      <c r="B91" s="189" t="s">
        <v>2820</v>
      </c>
      <c r="C91" s="189" t="s">
        <v>2978</v>
      </c>
      <c r="D91" s="211" t="s">
        <v>3234</v>
      </c>
      <c r="E91" s="53" t="s">
        <v>24</v>
      </c>
      <c r="F91" s="212" t="s">
        <v>24</v>
      </c>
      <c r="G91" s="53"/>
      <c r="H91" s="211" t="s">
        <v>3333</v>
      </c>
      <c r="I91" s="211" t="s">
        <v>3433</v>
      </c>
      <c r="J91" s="211" t="s">
        <v>870</v>
      </c>
      <c r="K91" s="211" t="s">
        <v>3454</v>
      </c>
      <c r="L91" s="189">
        <v>6</v>
      </c>
      <c r="M91" s="211" t="s">
        <v>3544</v>
      </c>
      <c r="N91" s="211" t="s">
        <v>3644</v>
      </c>
      <c r="O91" s="189" t="s">
        <v>292</v>
      </c>
      <c r="P91" s="189" t="s">
        <v>293</v>
      </c>
      <c r="Q91" s="211">
        <v>27090</v>
      </c>
      <c r="R91" s="189" t="s">
        <v>294</v>
      </c>
      <c r="S91" s="189" t="s">
        <v>3078</v>
      </c>
      <c r="T91" s="189" t="s">
        <v>3136</v>
      </c>
      <c r="U91" s="211">
        <v>8</v>
      </c>
      <c r="V91" s="211" t="s">
        <v>296</v>
      </c>
      <c r="W91" s="211" t="s">
        <v>3736</v>
      </c>
      <c r="X91" s="53"/>
      <c r="Y91" s="211">
        <v>1</v>
      </c>
      <c r="Z91" s="53" t="s">
        <v>556</v>
      </c>
      <c r="AA91" s="189" t="s">
        <v>299</v>
      </c>
      <c r="AB91" s="189" t="s">
        <v>3145</v>
      </c>
      <c r="AC91" s="211" t="s">
        <v>3837</v>
      </c>
      <c r="AD91" s="164" t="b">
        <v>0</v>
      </c>
      <c r="AE91" s="192"/>
      <c r="AF91" s="193"/>
      <c r="AG91" s="193"/>
      <c r="AH91" s="193"/>
      <c r="AI91" s="193"/>
      <c r="AJ91" s="193"/>
      <c r="AK91" s="193"/>
      <c r="AL91" s="194"/>
      <c r="AM91" s="48"/>
      <c r="AN91" s="48"/>
      <c r="AO91" s="48"/>
      <c r="AP91" s="194"/>
      <c r="AQ91" s="194"/>
      <c r="AR91" s="194"/>
      <c r="AS91" s="194"/>
      <c r="AT91" s="194"/>
      <c r="AU91" s="194"/>
      <c r="AV91" s="194"/>
      <c r="AW91" s="194"/>
      <c r="AX91" s="194"/>
      <c r="AY91" s="194"/>
      <c r="AZ91" s="194"/>
      <c r="BA91" s="194"/>
      <c r="BB91" s="194"/>
      <c r="BC91" s="194"/>
      <c r="BD91" s="194"/>
      <c r="BE91" s="194"/>
      <c r="BF91" s="194"/>
      <c r="BG91" s="194"/>
      <c r="BH91" s="194"/>
      <c r="BI91" s="194"/>
      <c r="BJ91" s="194"/>
      <c r="BK91" s="194"/>
      <c r="BL91" s="194"/>
      <c r="BM91" s="194"/>
      <c r="BN91" s="194"/>
      <c r="BO91" s="194"/>
      <c r="BP91" s="194"/>
      <c r="BQ91" s="194"/>
      <c r="BR91" s="194"/>
      <c r="BS91" s="194"/>
      <c r="BT91" s="194"/>
      <c r="BU91" s="194"/>
      <c r="BV91" s="194"/>
      <c r="BW91" s="194"/>
      <c r="BX91" s="194"/>
      <c r="BY91" s="194"/>
      <c r="BZ91" s="194"/>
      <c r="CA91" s="194"/>
      <c r="CB91" s="194"/>
      <c r="CC91" s="194"/>
      <c r="CD91" s="194"/>
      <c r="CE91" s="194"/>
      <c r="CF91" s="194"/>
      <c r="CG91" s="194"/>
      <c r="CH91" s="194"/>
      <c r="CI91" s="194"/>
      <c r="CJ91" s="194"/>
      <c r="CK91" s="194"/>
      <c r="CL91" s="194"/>
      <c r="CM91" s="194"/>
      <c r="CN91" s="194"/>
      <c r="CO91" s="194"/>
      <c r="CP91" s="48"/>
      <c r="CQ91" s="194"/>
      <c r="CR91" s="194"/>
      <c r="CS91" s="194"/>
      <c r="CT91" s="194"/>
      <c r="CU91" s="194"/>
      <c r="CV91" s="194"/>
      <c r="CW91" s="194"/>
      <c r="CX91" s="194"/>
      <c r="CY91" s="194"/>
      <c r="CZ91" s="194"/>
      <c r="DA91" s="194"/>
      <c r="DB91" s="194"/>
      <c r="DC91" s="194"/>
      <c r="DD91" s="196"/>
      <c r="DE91" s="194"/>
      <c r="DF91" s="194"/>
      <c r="DG91" s="196"/>
      <c r="DH91" s="196"/>
      <c r="DI91" s="196"/>
      <c r="DJ91" s="194"/>
      <c r="DK91" s="194"/>
      <c r="DL91" s="194"/>
      <c r="DM91" s="194"/>
      <c r="DN91" s="194"/>
      <c r="DO91" s="194"/>
      <c r="DP91" s="194"/>
      <c r="DQ91" s="196"/>
      <c r="DR91" s="194"/>
      <c r="DS91" s="196"/>
      <c r="DT91" s="194"/>
      <c r="DU91" s="194"/>
      <c r="DV91" s="194"/>
      <c r="DW91" s="194"/>
      <c r="DX91" s="194"/>
      <c r="DY91" s="194"/>
      <c r="DZ91" s="194"/>
      <c r="EA91" s="194"/>
      <c r="EB91" s="194"/>
      <c r="EC91" s="194"/>
      <c r="ED91" s="194"/>
      <c r="EE91" s="194"/>
      <c r="EF91" s="194"/>
      <c r="EG91" s="194"/>
      <c r="EH91" s="194"/>
      <c r="EI91" s="194"/>
      <c r="EJ91" s="194"/>
      <c r="EK91" s="196"/>
      <c r="EL91" s="196"/>
      <c r="EM91" s="48"/>
      <c r="EN91" s="55"/>
      <c r="EO91" s="48"/>
      <c r="EP91" s="48"/>
      <c r="EQ91" s="196"/>
      <c r="ER91" s="194"/>
      <c r="ES91" s="48"/>
      <c r="ET91" s="194"/>
      <c r="EU91" s="194"/>
      <c r="EV91" s="194"/>
      <c r="EW91" s="211" t="s">
        <v>3899</v>
      </c>
      <c r="EX91" s="211" t="s">
        <v>3954</v>
      </c>
      <c r="EY91" s="211" t="s">
        <v>4016</v>
      </c>
      <c r="EZ91" s="211" t="s">
        <v>4078</v>
      </c>
      <c r="FA91" s="211" t="s">
        <v>4140</v>
      </c>
      <c r="FB91" s="211" t="s">
        <v>4204</v>
      </c>
      <c r="FC91" s="211" t="s">
        <v>4265</v>
      </c>
      <c r="FD91" s="211" t="s">
        <v>4326</v>
      </c>
      <c r="FE91" s="211" t="s">
        <v>4387</v>
      </c>
      <c r="FF91" s="194"/>
      <c r="FG91" s="194"/>
      <c r="FH91" s="194"/>
      <c r="FI91" s="194"/>
      <c r="FJ91" s="55"/>
      <c r="FK91" s="194"/>
      <c r="FL91" s="197"/>
      <c r="FM91" s="194"/>
      <c r="FN91" s="198"/>
      <c r="FO91" s="194"/>
      <c r="FP91" s="198"/>
      <c r="FQ91" s="194"/>
      <c r="FR91" s="43"/>
      <c r="FS91" s="194"/>
      <c r="FT91" s="194"/>
      <c r="FU91" s="194"/>
      <c r="FV91" s="199"/>
      <c r="FW91" s="194"/>
      <c r="FX91" s="200"/>
    </row>
    <row r="92" spans="1:180" ht="15" customHeight="1" x14ac:dyDescent="0.2">
      <c r="A92" s="68" t="s">
        <v>588</v>
      </c>
      <c r="B92" s="189" t="s">
        <v>2882</v>
      </c>
      <c r="C92" s="189" t="s">
        <v>2979</v>
      </c>
      <c r="D92" s="211" t="s">
        <v>3235</v>
      </c>
      <c r="E92" s="53" t="s">
        <v>698</v>
      </c>
      <c r="F92" s="213" t="s">
        <v>472</v>
      </c>
      <c r="G92" s="53"/>
      <c r="H92" s="211" t="s">
        <v>3334</v>
      </c>
      <c r="I92" s="211" t="s">
        <v>3434</v>
      </c>
      <c r="J92" s="211" t="s">
        <v>3443</v>
      </c>
      <c r="K92" s="190"/>
      <c r="L92" s="189">
        <v>1</v>
      </c>
      <c r="M92" s="211" t="s">
        <v>3545</v>
      </c>
      <c r="N92" s="211" t="s">
        <v>3645</v>
      </c>
      <c r="O92" s="189" t="s">
        <v>292</v>
      </c>
      <c r="P92" s="189" t="s">
        <v>293</v>
      </c>
      <c r="Q92" s="211">
        <v>27091</v>
      </c>
      <c r="R92" s="189" t="s">
        <v>294</v>
      </c>
      <c r="S92" s="189" t="s">
        <v>3079</v>
      </c>
      <c r="T92" s="189" t="s">
        <v>3099</v>
      </c>
      <c r="U92" s="211">
        <v>14</v>
      </c>
      <c r="V92" s="211" t="s">
        <v>296</v>
      </c>
      <c r="W92" s="211" t="s">
        <v>3737</v>
      </c>
      <c r="X92" s="53" t="s">
        <v>24</v>
      </c>
      <c r="Y92" s="211">
        <v>1</v>
      </c>
      <c r="Z92" s="53" t="s">
        <v>298</v>
      </c>
      <c r="AA92" s="189" t="s">
        <v>299</v>
      </c>
      <c r="AB92" s="189" t="s">
        <v>410</v>
      </c>
      <c r="AC92" s="211" t="s">
        <v>3838</v>
      </c>
      <c r="AD92" s="164" t="b">
        <v>1</v>
      </c>
      <c r="AE92" s="192"/>
      <c r="AF92" s="193"/>
      <c r="AG92" s="193"/>
      <c r="AH92" s="193"/>
      <c r="AI92" s="193"/>
      <c r="AJ92" s="193"/>
      <c r="AK92" s="193"/>
      <c r="AL92" s="194"/>
      <c r="AM92" s="48"/>
      <c r="AN92" s="48"/>
      <c r="AO92" s="48"/>
      <c r="AP92" s="194"/>
      <c r="AQ92" s="194"/>
      <c r="AR92" s="194"/>
      <c r="AS92" s="194"/>
      <c r="AT92" s="194"/>
      <c r="AU92" s="194"/>
      <c r="AV92" s="194"/>
      <c r="AW92" s="194"/>
      <c r="AX92" s="194"/>
      <c r="AY92" s="194"/>
      <c r="AZ92" s="194"/>
      <c r="BA92" s="194"/>
      <c r="BB92" s="194"/>
      <c r="BC92" s="194"/>
      <c r="BD92" s="194"/>
      <c r="BE92" s="194"/>
      <c r="BF92" s="194"/>
      <c r="BG92" s="194"/>
      <c r="BH92" s="194"/>
      <c r="BI92" s="194"/>
      <c r="BJ92" s="194"/>
      <c r="BK92" s="194"/>
      <c r="BL92" s="194"/>
      <c r="BM92" s="194"/>
      <c r="BN92" s="194"/>
      <c r="BO92" s="194"/>
      <c r="BP92" s="194"/>
      <c r="BQ92" s="194"/>
      <c r="BR92" s="194"/>
      <c r="BS92" s="194"/>
      <c r="BT92" s="194"/>
      <c r="BU92" s="194"/>
      <c r="BV92" s="194"/>
      <c r="BW92" s="194"/>
      <c r="BX92" s="194"/>
      <c r="BY92" s="194"/>
      <c r="BZ92" s="194"/>
      <c r="CA92" s="194"/>
      <c r="CB92" s="194"/>
      <c r="CC92" s="194"/>
      <c r="CD92" s="194"/>
      <c r="CE92" s="194"/>
      <c r="CF92" s="194"/>
      <c r="CG92" s="194"/>
      <c r="CH92" s="194"/>
      <c r="CI92" s="194"/>
      <c r="CJ92" s="194"/>
      <c r="CK92" s="194"/>
      <c r="CL92" s="194"/>
      <c r="CM92" s="194"/>
      <c r="CN92" s="194"/>
      <c r="CO92" s="194"/>
      <c r="CP92" s="48"/>
      <c r="CQ92" s="194"/>
      <c r="CR92" s="194"/>
      <c r="CS92" s="194"/>
      <c r="CT92" s="194"/>
      <c r="CU92" s="194"/>
      <c r="CV92" s="194"/>
      <c r="CW92" s="194"/>
      <c r="CX92" s="194"/>
      <c r="CY92" s="194"/>
      <c r="CZ92" s="194"/>
      <c r="DA92" s="194"/>
      <c r="DB92" s="194"/>
      <c r="DC92" s="194"/>
      <c r="DD92" s="196"/>
      <c r="DE92" s="194"/>
      <c r="DF92" s="194"/>
      <c r="DG92" s="196"/>
      <c r="DH92" s="196"/>
      <c r="DI92" s="196"/>
      <c r="DJ92" s="194"/>
      <c r="DK92" s="194"/>
      <c r="DL92" s="194"/>
      <c r="DM92" s="194"/>
      <c r="DN92" s="194"/>
      <c r="DO92" s="194"/>
      <c r="DP92" s="194"/>
      <c r="DQ92" s="196"/>
      <c r="DR92" s="194"/>
      <c r="DS92" s="196"/>
      <c r="DT92" s="194"/>
      <c r="DU92" s="194"/>
      <c r="DV92" s="194"/>
      <c r="DW92" s="194"/>
      <c r="DX92" s="194"/>
      <c r="DY92" s="194"/>
      <c r="DZ92" s="194"/>
      <c r="EA92" s="194"/>
      <c r="EB92" s="194"/>
      <c r="EC92" s="194"/>
      <c r="ED92" s="194"/>
      <c r="EE92" s="194"/>
      <c r="EF92" s="194"/>
      <c r="EG92" s="194"/>
      <c r="EH92" s="194"/>
      <c r="EI92" s="194"/>
      <c r="EJ92" s="194"/>
      <c r="EK92" s="196"/>
      <c r="EL92" s="196"/>
      <c r="EM92" s="48"/>
      <c r="EN92" s="55"/>
      <c r="EO92" s="48"/>
      <c r="EP92" s="48"/>
      <c r="EQ92" s="196"/>
      <c r="ER92" s="194"/>
      <c r="ES92" s="48"/>
      <c r="ET92" s="194"/>
      <c r="EU92" s="194"/>
      <c r="EV92" s="194"/>
      <c r="EW92" s="211" t="s">
        <v>3866</v>
      </c>
      <c r="EX92" s="211" t="s">
        <v>3955</v>
      </c>
      <c r="EY92" s="211" t="s">
        <v>4017</v>
      </c>
      <c r="EZ92" s="211" t="s">
        <v>4079</v>
      </c>
      <c r="FA92" s="211" t="s">
        <v>4141</v>
      </c>
      <c r="FB92" s="211" t="s">
        <v>4205</v>
      </c>
      <c r="FC92" s="211" t="s">
        <v>4266</v>
      </c>
      <c r="FD92" s="211" t="s">
        <v>4327</v>
      </c>
      <c r="FE92" s="211" t="s">
        <v>4388</v>
      </c>
      <c r="FF92" s="194"/>
      <c r="FG92" s="194"/>
      <c r="FH92" s="194"/>
      <c r="FI92" s="194"/>
      <c r="FJ92" s="55"/>
      <c r="FK92" s="194"/>
      <c r="FL92" s="197"/>
      <c r="FM92" s="194"/>
      <c r="FN92" s="198"/>
      <c r="FO92" s="194"/>
      <c r="FP92" s="198"/>
      <c r="FQ92" s="194"/>
      <c r="FR92" s="43"/>
      <c r="FS92" s="194"/>
      <c r="FT92" s="194"/>
      <c r="FU92" s="194"/>
      <c r="FV92" s="199"/>
      <c r="FW92" s="194"/>
      <c r="FX92" s="200"/>
    </row>
    <row r="93" spans="1:180" ht="15" customHeight="1" x14ac:dyDescent="0.2">
      <c r="A93" s="119" t="s">
        <v>289</v>
      </c>
      <c r="B93" s="189" t="s">
        <v>2883</v>
      </c>
      <c r="C93" s="189" t="s">
        <v>2980</v>
      </c>
      <c r="D93" s="211" t="s">
        <v>3210</v>
      </c>
      <c r="E93" s="70" t="s">
        <v>24</v>
      </c>
      <c r="F93" s="212" t="s">
        <v>24</v>
      </c>
      <c r="G93" s="53"/>
      <c r="H93" s="211" t="s">
        <v>3335</v>
      </c>
      <c r="I93" s="211" t="s">
        <v>3435</v>
      </c>
      <c r="J93" s="211" t="s">
        <v>24</v>
      </c>
      <c r="K93" s="190"/>
      <c r="L93" s="189">
        <v>1</v>
      </c>
      <c r="M93" s="211" t="s">
        <v>3546</v>
      </c>
      <c r="N93" s="211" t="s">
        <v>3646</v>
      </c>
      <c r="O93" s="189" t="s">
        <v>292</v>
      </c>
      <c r="P93" s="189" t="s">
        <v>293</v>
      </c>
      <c r="Q93" s="211">
        <v>27092</v>
      </c>
      <c r="R93" s="189" t="s">
        <v>294</v>
      </c>
      <c r="S93" s="189" t="s">
        <v>3080</v>
      </c>
      <c r="T93" s="189" t="s">
        <v>3137</v>
      </c>
      <c r="U93" s="211">
        <v>10</v>
      </c>
      <c r="V93" s="211" t="s">
        <v>296</v>
      </c>
      <c r="W93" s="211" t="s">
        <v>3738</v>
      </c>
      <c r="X93" s="53"/>
      <c r="Y93" s="211">
        <v>1</v>
      </c>
      <c r="Z93" s="48" t="s">
        <v>535</v>
      </c>
      <c r="AA93" s="189" t="s">
        <v>3143</v>
      </c>
      <c r="AB93" s="189" t="s">
        <v>766</v>
      </c>
      <c r="AC93" s="211" t="s">
        <v>3839</v>
      </c>
      <c r="AD93" s="164" t="b">
        <v>1</v>
      </c>
      <c r="AE93" s="192"/>
      <c r="AF93" s="193"/>
      <c r="AG93" s="193"/>
      <c r="AH93" s="193"/>
      <c r="AI93" s="193"/>
      <c r="AJ93" s="193"/>
      <c r="AK93" s="193"/>
      <c r="AL93" s="194"/>
      <c r="AM93" s="48"/>
      <c r="AN93" s="48"/>
      <c r="AO93" s="48"/>
      <c r="AP93" s="194"/>
      <c r="AQ93" s="194"/>
      <c r="AR93" s="194"/>
      <c r="AS93" s="194"/>
      <c r="AT93" s="194"/>
      <c r="AU93" s="194"/>
      <c r="AV93" s="194"/>
      <c r="AW93" s="194"/>
      <c r="AX93" s="194"/>
      <c r="AY93" s="194"/>
      <c r="AZ93" s="194"/>
      <c r="BA93" s="194"/>
      <c r="BB93" s="194"/>
      <c r="BC93" s="194"/>
      <c r="BD93" s="194"/>
      <c r="BE93" s="194"/>
      <c r="BF93" s="194"/>
      <c r="BG93" s="194"/>
      <c r="BH93" s="194"/>
      <c r="BI93" s="194"/>
      <c r="BJ93" s="194"/>
      <c r="BK93" s="194"/>
      <c r="BL93" s="194"/>
      <c r="BM93" s="194"/>
      <c r="BN93" s="194"/>
      <c r="BO93" s="194"/>
      <c r="BP93" s="194"/>
      <c r="BQ93" s="194"/>
      <c r="BR93" s="194"/>
      <c r="BS93" s="194"/>
      <c r="BT93" s="194"/>
      <c r="BU93" s="194"/>
      <c r="BV93" s="194"/>
      <c r="BW93" s="194"/>
      <c r="BX93" s="194"/>
      <c r="BY93" s="194"/>
      <c r="BZ93" s="194"/>
      <c r="CA93" s="194"/>
      <c r="CB93" s="194"/>
      <c r="CC93" s="194"/>
      <c r="CD93" s="194"/>
      <c r="CE93" s="194"/>
      <c r="CF93" s="194"/>
      <c r="CG93" s="194"/>
      <c r="CH93" s="194"/>
      <c r="CI93" s="194"/>
      <c r="CJ93" s="194"/>
      <c r="CK93" s="194"/>
      <c r="CL93" s="194"/>
      <c r="CM93" s="194"/>
      <c r="CN93" s="194"/>
      <c r="CO93" s="194"/>
      <c r="CP93" s="48"/>
      <c r="CQ93" s="194"/>
      <c r="CR93" s="194"/>
      <c r="CS93" s="194"/>
      <c r="CT93" s="194"/>
      <c r="CU93" s="194"/>
      <c r="CV93" s="194"/>
      <c r="CW93" s="194"/>
      <c r="CX93" s="194"/>
      <c r="CY93" s="194"/>
      <c r="CZ93" s="194"/>
      <c r="DA93" s="194"/>
      <c r="DB93" s="194"/>
      <c r="DC93" s="194"/>
      <c r="DD93" s="196"/>
      <c r="DE93" s="194"/>
      <c r="DF93" s="194"/>
      <c r="DG93" s="196"/>
      <c r="DH93" s="196"/>
      <c r="DI93" s="196"/>
      <c r="DJ93" s="194"/>
      <c r="DK93" s="194"/>
      <c r="DL93" s="194"/>
      <c r="DM93" s="194"/>
      <c r="DN93" s="194"/>
      <c r="DO93" s="194"/>
      <c r="DP93" s="194"/>
      <c r="DQ93" s="196"/>
      <c r="DR93" s="194"/>
      <c r="DS93" s="196"/>
      <c r="DT93" s="194"/>
      <c r="DU93" s="194"/>
      <c r="DV93" s="194"/>
      <c r="DW93" s="194"/>
      <c r="DX93" s="194"/>
      <c r="DY93" s="194"/>
      <c r="DZ93" s="194"/>
      <c r="EA93" s="194"/>
      <c r="EB93" s="194"/>
      <c r="EC93" s="194"/>
      <c r="ED93" s="194"/>
      <c r="EE93" s="194"/>
      <c r="EF93" s="194"/>
      <c r="EG93" s="194"/>
      <c r="EH93" s="194"/>
      <c r="EI93" s="194"/>
      <c r="EJ93" s="194"/>
      <c r="EK93" s="196"/>
      <c r="EL93" s="196"/>
      <c r="EM93" s="48"/>
      <c r="EN93" s="55"/>
      <c r="EO93" s="48"/>
      <c r="EP93" s="48"/>
      <c r="EQ93" s="196"/>
      <c r="ER93" s="194"/>
      <c r="ES93" s="48"/>
      <c r="ET93" s="194"/>
      <c r="EU93" s="194"/>
      <c r="EV93" s="194"/>
      <c r="EW93" s="211" t="s">
        <v>3918</v>
      </c>
      <c r="EX93" s="211" t="s">
        <v>3943</v>
      </c>
      <c r="EY93" s="211" t="s">
        <v>4005</v>
      </c>
      <c r="EZ93" s="211" t="s">
        <v>4067</v>
      </c>
      <c r="FA93" s="211" t="s">
        <v>4129</v>
      </c>
      <c r="FB93" s="211" t="s">
        <v>4193</v>
      </c>
      <c r="FC93" s="211" t="s">
        <v>4254</v>
      </c>
      <c r="FD93" s="211" t="s">
        <v>4315</v>
      </c>
      <c r="FE93" s="211" t="s">
        <v>4376</v>
      </c>
      <c r="FF93" s="194"/>
      <c r="FG93" s="194"/>
      <c r="FH93" s="194"/>
      <c r="FI93" s="194"/>
      <c r="FJ93" s="55"/>
      <c r="FK93" s="194"/>
      <c r="FL93" s="197"/>
      <c r="FM93" s="194"/>
      <c r="FN93" s="198"/>
      <c r="FO93" s="194"/>
      <c r="FP93" s="198"/>
      <c r="FQ93" s="194"/>
      <c r="FR93" s="43"/>
      <c r="FS93" s="194"/>
      <c r="FT93" s="194"/>
      <c r="FU93" s="194"/>
      <c r="FV93" s="199"/>
      <c r="FW93" s="194"/>
      <c r="FX93" s="200"/>
    </row>
    <row r="94" spans="1:180" ht="15" customHeight="1" x14ac:dyDescent="0.2">
      <c r="A94" s="68" t="s">
        <v>289</v>
      </c>
      <c r="B94" s="189" t="s">
        <v>2882</v>
      </c>
      <c r="C94" s="189" t="s">
        <v>2981</v>
      </c>
      <c r="D94" s="211" t="s">
        <v>3236</v>
      </c>
      <c r="E94" s="53" t="s">
        <v>472</v>
      </c>
      <c r="F94" s="213" t="s">
        <v>407</v>
      </c>
      <c r="G94" s="53"/>
      <c r="H94" s="211" t="s">
        <v>3336</v>
      </c>
      <c r="I94" s="211" t="s">
        <v>3436</v>
      </c>
      <c r="J94" s="211" t="s">
        <v>472</v>
      </c>
      <c r="K94" s="190"/>
      <c r="L94" s="189">
        <v>3</v>
      </c>
      <c r="M94" s="211" t="s">
        <v>3547</v>
      </c>
      <c r="N94" s="211" t="s">
        <v>3647</v>
      </c>
      <c r="O94" s="189" t="s">
        <v>292</v>
      </c>
      <c r="P94" s="189" t="s">
        <v>293</v>
      </c>
      <c r="Q94" s="211">
        <v>27093</v>
      </c>
      <c r="R94" s="189" t="s">
        <v>294</v>
      </c>
      <c r="S94" s="189" t="s">
        <v>3081</v>
      </c>
      <c r="T94" s="189" t="s">
        <v>3138</v>
      </c>
      <c r="U94" s="211">
        <v>9</v>
      </c>
      <c r="V94" s="211" t="s">
        <v>296</v>
      </c>
      <c r="W94" s="211" t="s">
        <v>3739</v>
      </c>
      <c r="X94" s="53"/>
      <c r="Y94" s="211">
        <v>1</v>
      </c>
      <c r="Z94" s="53" t="s">
        <v>535</v>
      </c>
      <c r="AA94" s="189" t="s">
        <v>299</v>
      </c>
      <c r="AB94" s="189" t="s">
        <v>410</v>
      </c>
      <c r="AC94" s="211" t="s">
        <v>3840</v>
      </c>
      <c r="AD94" s="164" t="b">
        <v>0</v>
      </c>
      <c r="AE94" s="192"/>
      <c r="AF94" s="193"/>
      <c r="AG94" s="193"/>
      <c r="AH94" s="193"/>
      <c r="AI94" s="193"/>
      <c r="AJ94" s="193"/>
      <c r="AK94" s="193"/>
      <c r="AL94" s="194"/>
      <c r="AM94" s="48"/>
      <c r="AN94" s="48"/>
      <c r="AO94" s="48"/>
      <c r="AP94" s="194"/>
      <c r="AQ94" s="194"/>
      <c r="AR94" s="194"/>
      <c r="AS94" s="194"/>
      <c r="AT94" s="194"/>
      <c r="AU94" s="194"/>
      <c r="AV94" s="194"/>
      <c r="AW94" s="194"/>
      <c r="AX94" s="194"/>
      <c r="AY94" s="194"/>
      <c r="AZ94" s="194"/>
      <c r="BA94" s="194"/>
      <c r="BB94" s="194"/>
      <c r="BC94" s="194"/>
      <c r="BD94" s="194"/>
      <c r="BE94" s="194"/>
      <c r="BF94" s="194"/>
      <c r="BG94" s="194"/>
      <c r="BH94" s="194"/>
      <c r="BI94" s="194"/>
      <c r="BJ94" s="194"/>
      <c r="BK94" s="194"/>
      <c r="BL94" s="194"/>
      <c r="BM94" s="194"/>
      <c r="BN94" s="194"/>
      <c r="BO94" s="194"/>
      <c r="BP94" s="194"/>
      <c r="BQ94" s="194"/>
      <c r="BR94" s="194"/>
      <c r="BS94" s="194"/>
      <c r="BT94" s="194"/>
      <c r="BU94" s="194"/>
      <c r="BV94" s="194"/>
      <c r="BW94" s="194"/>
      <c r="BX94" s="194"/>
      <c r="BY94" s="194"/>
      <c r="BZ94" s="194"/>
      <c r="CA94" s="194"/>
      <c r="CB94" s="194"/>
      <c r="CC94" s="194"/>
      <c r="CD94" s="194"/>
      <c r="CE94" s="194"/>
      <c r="CF94" s="194"/>
      <c r="CG94" s="194"/>
      <c r="CH94" s="194"/>
      <c r="CI94" s="194"/>
      <c r="CJ94" s="194"/>
      <c r="CK94" s="194"/>
      <c r="CL94" s="194"/>
      <c r="CM94" s="194"/>
      <c r="CN94" s="194"/>
      <c r="CO94" s="194"/>
      <c r="CP94" s="48"/>
      <c r="CQ94" s="194"/>
      <c r="CR94" s="194"/>
      <c r="CS94" s="194"/>
      <c r="CT94" s="194"/>
      <c r="CU94" s="194"/>
      <c r="CV94" s="194"/>
      <c r="CW94" s="194"/>
      <c r="CX94" s="194"/>
      <c r="CY94" s="194"/>
      <c r="CZ94" s="194"/>
      <c r="DA94" s="194"/>
      <c r="DB94" s="194"/>
      <c r="DC94" s="194"/>
      <c r="DD94" s="196"/>
      <c r="DE94" s="194"/>
      <c r="DF94" s="194"/>
      <c r="DG94" s="196"/>
      <c r="DH94" s="196"/>
      <c r="DI94" s="196"/>
      <c r="DJ94" s="194"/>
      <c r="DK94" s="194"/>
      <c r="DL94" s="194"/>
      <c r="DM94" s="194"/>
      <c r="DN94" s="194"/>
      <c r="DO94" s="194"/>
      <c r="DP94" s="194"/>
      <c r="DQ94" s="196"/>
      <c r="DR94" s="194"/>
      <c r="DS94" s="196"/>
      <c r="DT94" s="194"/>
      <c r="DU94" s="194"/>
      <c r="DV94" s="194"/>
      <c r="DW94" s="194"/>
      <c r="DX94" s="194"/>
      <c r="DY94" s="194"/>
      <c r="DZ94" s="194"/>
      <c r="EA94" s="194"/>
      <c r="EB94" s="194"/>
      <c r="EC94" s="194"/>
      <c r="ED94" s="194"/>
      <c r="EE94" s="194"/>
      <c r="EF94" s="194"/>
      <c r="EG94" s="194"/>
      <c r="EH94" s="194"/>
      <c r="EI94" s="194"/>
      <c r="EJ94" s="194"/>
      <c r="EK94" s="196"/>
      <c r="EL94" s="196"/>
      <c r="EM94" s="48"/>
      <c r="EN94" s="55"/>
      <c r="EO94" s="48"/>
      <c r="EP94" s="48"/>
      <c r="EQ94" s="196"/>
      <c r="ER94" s="194"/>
      <c r="ES94" s="48"/>
      <c r="ET94" s="194"/>
      <c r="EU94" s="194"/>
      <c r="EV94" s="194"/>
      <c r="EW94" s="211" t="s">
        <v>3900</v>
      </c>
      <c r="EX94" s="211" t="s">
        <v>3982</v>
      </c>
      <c r="EY94" s="211" t="s">
        <v>4044</v>
      </c>
      <c r="EZ94" s="211" t="s">
        <v>4106</v>
      </c>
      <c r="FA94" s="211" t="s">
        <v>4168</v>
      </c>
      <c r="FB94" s="211" t="s">
        <v>4232</v>
      </c>
      <c r="FC94" s="211" t="s">
        <v>4293</v>
      </c>
      <c r="FD94" s="211" t="s">
        <v>4354</v>
      </c>
      <c r="FE94" s="211" t="s">
        <v>4415</v>
      </c>
      <c r="FF94" s="194"/>
      <c r="FG94" s="194"/>
      <c r="FH94" s="194"/>
      <c r="FI94" s="194"/>
      <c r="FJ94" s="55"/>
      <c r="FK94" s="194"/>
      <c r="FL94" s="197"/>
      <c r="FM94" s="194"/>
      <c r="FN94" s="198"/>
      <c r="FO94" s="194"/>
      <c r="FP94" s="198"/>
      <c r="FQ94" s="194"/>
      <c r="FR94" s="43"/>
      <c r="FS94" s="194"/>
      <c r="FT94" s="194"/>
      <c r="FU94" s="194"/>
      <c r="FV94" s="199"/>
      <c r="FW94" s="194"/>
      <c r="FX94" s="200"/>
    </row>
    <row r="95" spans="1:180" ht="15" customHeight="1" x14ac:dyDescent="0.2">
      <c r="A95" s="96" t="s">
        <v>289</v>
      </c>
      <c r="B95" s="189" t="s">
        <v>2884</v>
      </c>
      <c r="C95" s="189" t="s">
        <v>2982</v>
      </c>
      <c r="D95" s="211" t="s">
        <v>3237</v>
      </c>
      <c r="E95" s="53" t="s">
        <v>24</v>
      </c>
      <c r="F95" s="212" t="s">
        <v>407</v>
      </c>
      <c r="G95" s="53"/>
      <c r="H95" s="211" t="s">
        <v>3337</v>
      </c>
      <c r="I95" s="211" t="s">
        <v>3437</v>
      </c>
      <c r="J95" s="211" t="s">
        <v>24</v>
      </c>
      <c r="K95" s="190"/>
      <c r="L95" s="189">
        <v>2</v>
      </c>
      <c r="M95" s="211" t="s">
        <v>3548</v>
      </c>
      <c r="N95" s="211" t="s">
        <v>3606</v>
      </c>
      <c r="O95" s="189" t="s">
        <v>292</v>
      </c>
      <c r="P95" s="189" t="s">
        <v>293</v>
      </c>
      <c r="Q95" s="211">
        <v>27094</v>
      </c>
      <c r="R95" s="189" t="s">
        <v>294</v>
      </c>
      <c r="S95" s="189" t="s">
        <v>3082</v>
      </c>
      <c r="T95" s="189" t="s">
        <v>3139</v>
      </c>
      <c r="U95" s="211">
        <v>7</v>
      </c>
      <c r="V95" s="211" t="s">
        <v>296</v>
      </c>
      <c r="W95" s="211" t="s">
        <v>3740</v>
      </c>
      <c r="X95" s="53"/>
      <c r="Y95" s="211">
        <v>1</v>
      </c>
      <c r="Z95" s="53" t="s">
        <v>535</v>
      </c>
      <c r="AA95" s="189" t="s">
        <v>3142</v>
      </c>
      <c r="AB95" s="189" t="s">
        <v>3146</v>
      </c>
      <c r="AC95" s="211" t="s">
        <v>3841</v>
      </c>
      <c r="AD95" s="164" t="b">
        <v>0</v>
      </c>
      <c r="AE95" s="192"/>
      <c r="AF95" s="193"/>
      <c r="AG95" s="193"/>
      <c r="AH95" s="193"/>
      <c r="AI95" s="193"/>
      <c r="AJ95" s="193"/>
      <c r="AK95" s="193"/>
      <c r="AL95" s="194"/>
      <c r="AM95" s="48"/>
      <c r="AN95" s="48"/>
      <c r="AO95" s="48"/>
      <c r="AP95" s="194"/>
      <c r="AQ95" s="194"/>
      <c r="AR95" s="194"/>
      <c r="AS95" s="194"/>
      <c r="AT95" s="194"/>
      <c r="AU95" s="194"/>
      <c r="AV95" s="194"/>
      <c r="AW95" s="194"/>
      <c r="AX95" s="194"/>
      <c r="AY95" s="194"/>
      <c r="AZ95" s="194"/>
      <c r="BA95" s="194"/>
      <c r="BB95" s="194"/>
      <c r="BC95" s="194"/>
      <c r="BD95" s="194"/>
      <c r="BE95" s="194"/>
      <c r="BF95" s="194"/>
      <c r="BG95" s="194"/>
      <c r="BH95" s="194"/>
      <c r="BI95" s="194"/>
      <c r="BJ95" s="194"/>
      <c r="BK95" s="194"/>
      <c r="BL95" s="194"/>
      <c r="BM95" s="194"/>
      <c r="BN95" s="194"/>
      <c r="BO95" s="194"/>
      <c r="BP95" s="194"/>
      <c r="BQ95" s="194"/>
      <c r="BR95" s="194"/>
      <c r="BS95" s="194"/>
      <c r="BT95" s="194"/>
      <c r="BU95" s="194"/>
      <c r="BV95" s="194"/>
      <c r="BW95" s="194"/>
      <c r="BX95" s="194"/>
      <c r="BY95" s="194"/>
      <c r="BZ95" s="194"/>
      <c r="CA95" s="194"/>
      <c r="CB95" s="194"/>
      <c r="CC95" s="194"/>
      <c r="CD95" s="194"/>
      <c r="CE95" s="194"/>
      <c r="CF95" s="194"/>
      <c r="CG95" s="194"/>
      <c r="CH95" s="194"/>
      <c r="CI95" s="194"/>
      <c r="CJ95" s="194"/>
      <c r="CK95" s="194"/>
      <c r="CL95" s="194"/>
      <c r="CM95" s="194"/>
      <c r="CN95" s="194"/>
      <c r="CO95" s="194"/>
      <c r="CP95" s="48"/>
      <c r="CQ95" s="194"/>
      <c r="CR95" s="194"/>
      <c r="CS95" s="194"/>
      <c r="CT95" s="194"/>
      <c r="CU95" s="194"/>
      <c r="CV95" s="194"/>
      <c r="CW95" s="194"/>
      <c r="CX95" s="194"/>
      <c r="CY95" s="194"/>
      <c r="CZ95" s="194"/>
      <c r="DA95" s="194"/>
      <c r="DB95" s="194"/>
      <c r="DC95" s="194"/>
      <c r="DD95" s="196"/>
      <c r="DE95" s="194"/>
      <c r="DF95" s="194"/>
      <c r="DG95" s="196"/>
      <c r="DH95" s="196"/>
      <c r="DI95" s="196"/>
      <c r="DJ95" s="194"/>
      <c r="DK95" s="194"/>
      <c r="DL95" s="194"/>
      <c r="DM95" s="194"/>
      <c r="DN95" s="194"/>
      <c r="DO95" s="194"/>
      <c r="DP95" s="194"/>
      <c r="DQ95" s="196"/>
      <c r="DR95" s="194"/>
      <c r="DS95" s="196"/>
      <c r="DT95" s="194"/>
      <c r="DU95" s="194"/>
      <c r="DV95" s="194"/>
      <c r="DW95" s="194"/>
      <c r="DX95" s="194"/>
      <c r="DY95" s="194"/>
      <c r="DZ95" s="194"/>
      <c r="EA95" s="194"/>
      <c r="EB95" s="194"/>
      <c r="EC95" s="194"/>
      <c r="ED95" s="194"/>
      <c r="EE95" s="194"/>
      <c r="EF95" s="194"/>
      <c r="EG95" s="194"/>
      <c r="EH95" s="194"/>
      <c r="EI95" s="194"/>
      <c r="EJ95" s="194"/>
      <c r="EK95" s="196"/>
      <c r="EL95" s="196"/>
      <c r="EM95" s="48"/>
      <c r="EN95" s="55"/>
      <c r="EO95" s="48"/>
      <c r="EP95" s="48"/>
      <c r="EQ95" s="196"/>
      <c r="ER95" s="194"/>
      <c r="ES95" s="48"/>
      <c r="ET95" s="194"/>
      <c r="EU95" s="194"/>
      <c r="EV95" s="194"/>
      <c r="EW95" s="211" t="s">
        <v>3864</v>
      </c>
      <c r="EX95" s="211" t="s">
        <v>3973</v>
      </c>
      <c r="EY95" s="211" t="s">
        <v>4035</v>
      </c>
      <c r="EZ95" s="211" t="s">
        <v>4097</v>
      </c>
      <c r="FA95" s="211" t="s">
        <v>4159</v>
      </c>
      <c r="FB95" s="211" t="s">
        <v>4223</v>
      </c>
      <c r="FC95" s="211" t="s">
        <v>4284</v>
      </c>
      <c r="FD95" s="211" t="s">
        <v>4345</v>
      </c>
      <c r="FE95" s="211" t="s">
        <v>4406</v>
      </c>
      <c r="FF95" s="194"/>
      <c r="FG95" s="194"/>
      <c r="FH95" s="194"/>
      <c r="FI95" s="194"/>
      <c r="FJ95" s="55"/>
      <c r="FK95" s="194"/>
      <c r="FL95" s="197"/>
      <c r="FM95" s="194"/>
      <c r="FN95" s="198"/>
      <c r="FO95" s="194"/>
      <c r="FP95" s="198"/>
      <c r="FQ95" s="194"/>
      <c r="FR95" s="43"/>
      <c r="FS95" s="194"/>
      <c r="FT95" s="194"/>
      <c r="FU95" s="194"/>
      <c r="FV95" s="199"/>
      <c r="FW95" s="194"/>
      <c r="FX95" s="200"/>
    </row>
    <row r="96" spans="1:180" ht="15" customHeight="1" x14ac:dyDescent="0.2">
      <c r="A96" s="154" t="s">
        <v>289</v>
      </c>
      <c r="B96" s="189" t="s">
        <v>2885</v>
      </c>
      <c r="C96" s="189" t="s">
        <v>2983</v>
      </c>
      <c r="D96" s="211" t="s">
        <v>3238</v>
      </c>
      <c r="E96" s="53" t="s">
        <v>24</v>
      </c>
      <c r="F96" s="213" t="s">
        <v>472</v>
      </c>
      <c r="G96" s="53"/>
      <c r="H96" s="211" t="s">
        <v>3338</v>
      </c>
      <c r="I96" s="211" t="s">
        <v>3438</v>
      </c>
      <c r="J96" s="211" t="s">
        <v>870</v>
      </c>
      <c r="K96" s="190"/>
      <c r="L96" s="189">
        <v>1</v>
      </c>
      <c r="M96" s="211" t="s">
        <v>3549</v>
      </c>
      <c r="N96" s="211" t="s">
        <v>3600</v>
      </c>
      <c r="O96" s="189" t="s">
        <v>292</v>
      </c>
      <c r="P96" s="189" t="s">
        <v>293</v>
      </c>
      <c r="Q96" s="211">
        <v>27095</v>
      </c>
      <c r="R96" s="189" t="s">
        <v>294</v>
      </c>
      <c r="S96" s="189" t="s">
        <v>3083</v>
      </c>
      <c r="T96" s="189" t="s">
        <v>3124</v>
      </c>
      <c r="U96" s="211">
        <v>12</v>
      </c>
      <c r="V96" s="211" t="s">
        <v>296</v>
      </c>
      <c r="W96" s="211" t="s">
        <v>3741</v>
      </c>
      <c r="X96" s="53"/>
      <c r="Y96" s="211">
        <v>1</v>
      </c>
      <c r="Z96" s="53" t="s">
        <v>298</v>
      </c>
      <c r="AA96" s="189" t="s">
        <v>3142</v>
      </c>
      <c r="AB96" s="189" t="s">
        <v>3146</v>
      </c>
      <c r="AC96" s="211" t="s">
        <v>3842</v>
      </c>
      <c r="AD96" s="164" t="b">
        <v>0</v>
      </c>
      <c r="AE96" s="192"/>
      <c r="AF96" s="193"/>
      <c r="AG96" s="193"/>
      <c r="AH96" s="193"/>
      <c r="AI96" s="193"/>
      <c r="AJ96" s="193"/>
      <c r="AK96" s="193"/>
      <c r="AL96" s="194"/>
      <c r="AM96" s="48"/>
      <c r="AN96" s="48"/>
      <c r="AO96" s="48"/>
      <c r="AP96" s="194"/>
      <c r="AQ96" s="194"/>
      <c r="AR96" s="194"/>
      <c r="AS96" s="194"/>
      <c r="AT96" s="194"/>
      <c r="AU96" s="194"/>
      <c r="AV96" s="194"/>
      <c r="AW96" s="194"/>
      <c r="AX96" s="194"/>
      <c r="AY96" s="194"/>
      <c r="AZ96" s="194"/>
      <c r="BA96" s="194"/>
      <c r="BB96" s="194"/>
      <c r="BC96" s="194"/>
      <c r="BD96" s="194"/>
      <c r="BE96" s="194"/>
      <c r="BF96" s="194"/>
      <c r="BG96" s="194"/>
      <c r="BH96" s="194"/>
      <c r="BI96" s="194"/>
      <c r="BJ96" s="194"/>
      <c r="BK96" s="194"/>
      <c r="BL96" s="194"/>
      <c r="BM96" s="194"/>
      <c r="BN96" s="194"/>
      <c r="BO96" s="194"/>
      <c r="BP96" s="194"/>
      <c r="BQ96" s="194"/>
      <c r="BR96" s="194"/>
      <c r="BS96" s="194"/>
      <c r="BT96" s="194"/>
      <c r="BU96" s="194"/>
      <c r="BV96" s="194"/>
      <c r="BW96" s="194"/>
      <c r="BX96" s="194"/>
      <c r="BY96" s="194"/>
      <c r="BZ96" s="194"/>
      <c r="CA96" s="194"/>
      <c r="CB96" s="194"/>
      <c r="CC96" s="194"/>
      <c r="CD96" s="194"/>
      <c r="CE96" s="194"/>
      <c r="CF96" s="194"/>
      <c r="CG96" s="194"/>
      <c r="CH96" s="194"/>
      <c r="CI96" s="194"/>
      <c r="CJ96" s="194"/>
      <c r="CK96" s="194"/>
      <c r="CL96" s="194"/>
      <c r="CM96" s="194"/>
      <c r="CN96" s="194"/>
      <c r="CO96" s="194"/>
      <c r="CP96" s="48"/>
      <c r="CQ96" s="194"/>
      <c r="CR96" s="194"/>
      <c r="CS96" s="194"/>
      <c r="CT96" s="194"/>
      <c r="CU96" s="194"/>
      <c r="CV96" s="194"/>
      <c r="CW96" s="194"/>
      <c r="CX96" s="194"/>
      <c r="CY96" s="194"/>
      <c r="CZ96" s="194"/>
      <c r="DA96" s="194"/>
      <c r="DB96" s="194"/>
      <c r="DC96" s="194"/>
      <c r="DD96" s="196"/>
      <c r="DE96" s="194"/>
      <c r="DF96" s="194"/>
      <c r="DG96" s="196"/>
      <c r="DH96" s="196"/>
      <c r="DI96" s="196"/>
      <c r="DJ96" s="194"/>
      <c r="DK96" s="194"/>
      <c r="DL96" s="194"/>
      <c r="DM96" s="194"/>
      <c r="DN96" s="194"/>
      <c r="DO96" s="194"/>
      <c r="DP96" s="194"/>
      <c r="DQ96" s="196"/>
      <c r="DR96" s="194"/>
      <c r="DS96" s="196"/>
      <c r="DT96" s="194"/>
      <c r="DU96" s="194"/>
      <c r="DV96" s="194"/>
      <c r="DW96" s="194"/>
      <c r="DX96" s="194"/>
      <c r="DY96" s="194"/>
      <c r="DZ96" s="194"/>
      <c r="EA96" s="194"/>
      <c r="EB96" s="194"/>
      <c r="EC96" s="194"/>
      <c r="ED96" s="194"/>
      <c r="EE96" s="194"/>
      <c r="EF96" s="194"/>
      <c r="EG96" s="194"/>
      <c r="EH96" s="194"/>
      <c r="EI96" s="194"/>
      <c r="EJ96" s="194"/>
      <c r="EK96" s="196"/>
      <c r="EL96" s="196"/>
      <c r="EM96" s="48"/>
      <c r="EN96" s="55"/>
      <c r="EO96" s="48"/>
      <c r="EP96" s="48"/>
      <c r="EQ96" s="196"/>
      <c r="ER96" s="194"/>
      <c r="ES96" s="48"/>
      <c r="ET96" s="194"/>
      <c r="EU96" s="194"/>
      <c r="EV96" s="194"/>
      <c r="EW96" s="211" t="s">
        <v>3919</v>
      </c>
      <c r="EX96" s="211" t="s">
        <v>3969</v>
      </c>
      <c r="EY96" s="211" t="s">
        <v>4031</v>
      </c>
      <c r="EZ96" s="211" t="s">
        <v>4093</v>
      </c>
      <c r="FA96" s="211" t="s">
        <v>4155</v>
      </c>
      <c r="FB96" s="211" t="s">
        <v>4219</v>
      </c>
      <c r="FC96" s="211" t="s">
        <v>4280</v>
      </c>
      <c r="FD96" s="211" t="s">
        <v>4341</v>
      </c>
      <c r="FE96" s="211" t="s">
        <v>4402</v>
      </c>
      <c r="FF96" s="194"/>
      <c r="FG96" s="194"/>
      <c r="FH96" s="194"/>
      <c r="FI96" s="194"/>
      <c r="FJ96" s="55"/>
      <c r="FK96" s="194"/>
      <c r="FL96" s="197"/>
      <c r="FM96" s="194"/>
      <c r="FN96" s="198"/>
      <c r="FO96" s="194"/>
      <c r="FP96" s="198"/>
      <c r="FQ96" s="194"/>
      <c r="FR96" s="43"/>
      <c r="FS96" s="194"/>
      <c r="FT96" s="194"/>
      <c r="FU96" s="194"/>
      <c r="FV96" s="199"/>
      <c r="FW96" s="194"/>
      <c r="FX96" s="200"/>
    </row>
    <row r="97" spans="1:180" ht="15" customHeight="1" x14ac:dyDescent="0.2">
      <c r="A97" s="176" t="s">
        <v>624</v>
      </c>
      <c r="B97" s="189" t="s">
        <v>2886</v>
      </c>
      <c r="C97" s="189" t="s">
        <v>2984</v>
      </c>
      <c r="D97" s="211" t="s">
        <v>3239</v>
      </c>
      <c r="E97" s="53" t="s">
        <v>698</v>
      </c>
      <c r="F97" s="212" t="s">
        <v>407</v>
      </c>
      <c r="G97" s="53"/>
      <c r="H97" s="211" t="s">
        <v>3339</v>
      </c>
      <c r="I97" s="211" t="s">
        <v>3439</v>
      </c>
      <c r="J97" s="211" t="s">
        <v>472</v>
      </c>
      <c r="K97" s="190"/>
      <c r="L97" s="189">
        <v>1</v>
      </c>
      <c r="M97" s="211" t="s">
        <v>3550</v>
      </c>
      <c r="N97" s="211" t="s">
        <v>3648</v>
      </c>
      <c r="O97" s="189" t="s">
        <v>292</v>
      </c>
      <c r="P97" s="189" t="s">
        <v>293</v>
      </c>
      <c r="Q97" s="211">
        <v>27096</v>
      </c>
      <c r="R97" s="189" t="s">
        <v>294</v>
      </c>
      <c r="S97" s="189" t="s">
        <v>3084</v>
      </c>
      <c r="T97" s="189" t="s">
        <v>3122</v>
      </c>
      <c r="U97" s="211">
        <v>6</v>
      </c>
      <c r="V97" s="211" t="s">
        <v>296</v>
      </c>
      <c r="W97" s="211" t="s">
        <v>3742</v>
      </c>
      <c r="X97" s="53"/>
      <c r="Y97" s="211">
        <v>2</v>
      </c>
      <c r="Z97" s="53" t="s">
        <v>298</v>
      </c>
      <c r="AA97" s="189" t="s">
        <v>3143</v>
      </c>
      <c r="AB97" s="189" t="s">
        <v>766</v>
      </c>
      <c r="AC97" s="211" t="s">
        <v>3843</v>
      </c>
      <c r="AD97" s="164" t="b">
        <v>1</v>
      </c>
      <c r="AE97" s="192"/>
      <c r="AF97" s="193"/>
      <c r="AG97" s="193"/>
      <c r="AH97" s="193"/>
      <c r="AI97" s="193"/>
      <c r="AJ97" s="193"/>
      <c r="AK97" s="193"/>
      <c r="AL97" s="194"/>
      <c r="AM97" s="48"/>
      <c r="AN97" s="48"/>
      <c r="AO97" s="48"/>
      <c r="AP97" s="194"/>
      <c r="AQ97" s="194"/>
      <c r="AR97" s="194"/>
      <c r="AS97" s="194"/>
      <c r="AT97" s="194"/>
      <c r="AU97" s="194"/>
      <c r="AV97" s="194"/>
      <c r="AW97" s="194"/>
      <c r="AX97" s="194"/>
      <c r="AY97" s="194"/>
      <c r="AZ97" s="194"/>
      <c r="BA97" s="194"/>
      <c r="BB97" s="194"/>
      <c r="BC97" s="194"/>
      <c r="BD97" s="194"/>
      <c r="BE97" s="194"/>
      <c r="BF97" s="194"/>
      <c r="BG97" s="194"/>
      <c r="BH97" s="194"/>
      <c r="BI97" s="194"/>
      <c r="BJ97" s="194"/>
      <c r="BK97" s="194"/>
      <c r="BL97" s="194"/>
      <c r="BM97" s="194"/>
      <c r="BN97" s="194"/>
      <c r="BO97" s="194"/>
      <c r="BP97" s="194"/>
      <c r="BQ97" s="194"/>
      <c r="BR97" s="194"/>
      <c r="BS97" s="194"/>
      <c r="BT97" s="194"/>
      <c r="BU97" s="194"/>
      <c r="BV97" s="194"/>
      <c r="BW97" s="194"/>
      <c r="BX97" s="194"/>
      <c r="BY97" s="194"/>
      <c r="BZ97" s="194"/>
      <c r="CA97" s="194"/>
      <c r="CB97" s="194"/>
      <c r="CC97" s="194"/>
      <c r="CD97" s="194"/>
      <c r="CE97" s="194"/>
      <c r="CF97" s="194"/>
      <c r="CG97" s="194"/>
      <c r="CH97" s="194"/>
      <c r="CI97" s="194"/>
      <c r="CJ97" s="194"/>
      <c r="CK97" s="194"/>
      <c r="CL97" s="194"/>
      <c r="CM97" s="194"/>
      <c r="CN97" s="194"/>
      <c r="CO97" s="194"/>
      <c r="CP97" s="48"/>
      <c r="CQ97" s="194"/>
      <c r="CR97" s="194"/>
      <c r="CS97" s="194"/>
      <c r="CT97" s="194"/>
      <c r="CU97" s="194"/>
      <c r="CV97" s="194"/>
      <c r="CW97" s="194"/>
      <c r="CX97" s="194"/>
      <c r="CY97" s="194"/>
      <c r="CZ97" s="194"/>
      <c r="DA97" s="194"/>
      <c r="DB97" s="194"/>
      <c r="DC97" s="194"/>
      <c r="DD97" s="196"/>
      <c r="DE97" s="194"/>
      <c r="DF97" s="194"/>
      <c r="DG97" s="196"/>
      <c r="DH97" s="196"/>
      <c r="DI97" s="196"/>
      <c r="DJ97" s="194"/>
      <c r="DK97" s="194"/>
      <c r="DL97" s="194"/>
      <c r="DM97" s="194"/>
      <c r="DN97" s="194"/>
      <c r="DO97" s="194"/>
      <c r="DP97" s="194"/>
      <c r="DQ97" s="196"/>
      <c r="DR97" s="194"/>
      <c r="DS97" s="196"/>
      <c r="DT97" s="194"/>
      <c r="DU97" s="194"/>
      <c r="DV97" s="194"/>
      <c r="DW97" s="194"/>
      <c r="DX97" s="194"/>
      <c r="DY97" s="194"/>
      <c r="DZ97" s="194"/>
      <c r="EA97" s="194"/>
      <c r="EB97" s="194"/>
      <c r="EC97" s="194"/>
      <c r="ED97" s="194"/>
      <c r="EE97" s="194"/>
      <c r="EF97" s="194"/>
      <c r="EG97" s="194"/>
      <c r="EH97" s="194"/>
      <c r="EI97" s="194"/>
      <c r="EJ97" s="194"/>
      <c r="EK97" s="196"/>
      <c r="EL97" s="196"/>
      <c r="EM97" s="48"/>
      <c r="EN97" s="55"/>
      <c r="EO97" s="48"/>
      <c r="EP97" s="48"/>
      <c r="EQ97" s="196"/>
      <c r="ER97" s="194"/>
      <c r="ES97" s="48"/>
      <c r="ET97" s="194"/>
      <c r="EU97" s="194"/>
      <c r="EV97" s="194"/>
      <c r="EW97" s="211" t="s">
        <v>3848</v>
      </c>
      <c r="EX97" s="211" t="s">
        <v>3938</v>
      </c>
      <c r="EY97" s="211" t="s">
        <v>4000</v>
      </c>
      <c r="EZ97" s="211" t="s">
        <v>4062</v>
      </c>
      <c r="FA97" s="211" t="s">
        <v>4124</v>
      </c>
      <c r="FB97" s="211" t="s">
        <v>4188</v>
      </c>
      <c r="FC97" s="211" t="s">
        <v>4249</v>
      </c>
      <c r="FD97" s="211" t="s">
        <v>4310</v>
      </c>
      <c r="FE97" s="211" t="s">
        <v>4371</v>
      </c>
      <c r="FF97" s="194"/>
      <c r="FG97" s="194"/>
      <c r="FH97" s="194"/>
      <c r="FI97" s="194"/>
      <c r="FJ97" s="55"/>
      <c r="FK97" s="194"/>
      <c r="FL97" s="197"/>
      <c r="FM97" s="194"/>
      <c r="FN97" s="198"/>
      <c r="FO97" s="194"/>
      <c r="FP97" s="198"/>
      <c r="FQ97" s="194"/>
      <c r="FR97" s="43"/>
      <c r="FS97" s="194"/>
      <c r="FT97" s="194"/>
      <c r="FU97" s="194"/>
      <c r="FV97" s="199"/>
      <c r="FW97" s="194"/>
      <c r="FX97" s="200"/>
    </row>
    <row r="98" spans="1:180" ht="15" customHeight="1" x14ac:dyDescent="0.2">
      <c r="A98" s="148" t="s">
        <v>624</v>
      </c>
      <c r="B98" s="189" t="s">
        <v>2887</v>
      </c>
      <c r="C98" s="189" t="s">
        <v>2985</v>
      </c>
      <c r="D98" s="211" t="s">
        <v>3240</v>
      </c>
      <c r="E98" s="70" t="s">
        <v>24</v>
      </c>
      <c r="F98" s="213" t="s">
        <v>407</v>
      </c>
      <c r="G98" s="53"/>
      <c r="H98" s="211" t="s">
        <v>3340</v>
      </c>
      <c r="I98" s="211" t="s">
        <v>3415</v>
      </c>
      <c r="J98" s="211" t="s">
        <v>833</v>
      </c>
      <c r="K98" s="190"/>
      <c r="L98" s="189">
        <v>3</v>
      </c>
      <c r="M98" s="211" t="s">
        <v>3551</v>
      </c>
      <c r="N98" s="211" t="s">
        <v>3649</v>
      </c>
      <c r="O98" s="189" t="s">
        <v>292</v>
      </c>
      <c r="P98" s="189" t="s">
        <v>293</v>
      </c>
      <c r="Q98" s="211">
        <v>27097</v>
      </c>
      <c r="R98" s="189" t="s">
        <v>294</v>
      </c>
      <c r="S98" s="189" t="s">
        <v>3085</v>
      </c>
      <c r="T98" s="189" t="s">
        <v>3105</v>
      </c>
      <c r="U98" s="211">
        <v>11</v>
      </c>
      <c r="V98" s="211" t="s">
        <v>296</v>
      </c>
      <c r="W98" s="211" t="s">
        <v>3743</v>
      </c>
      <c r="X98" s="53"/>
      <c r="Y98" s="211">
        <v>1</v>
      </c>
      <c r="Z98" s="140" t="s">
        <v>298</v>
      </c>
      <c r="AA98" s="189" t="s">
        <v>3143</v>
      </c>
      <c r="AB98" s="189" t="s">
        <v>336</v>
      </c>
      <c r="AC98" s="211" t="s">
        <v>3844</v>
      </c>
      <c r="AD98" s="164" t="b">
        <v>0</v>
      </c>
      <c r="AE98" s="192"/>
      <c r="AF98" s="193"/>
      <c r="AG98" s="193"/>
      <c r="AH98" s="193"/>
      <c r="AI98" s="193"/>
      <c r="AJ98" s="193"/>
      <c r="AK98" s="193"/>
      <c r="AL98" s="194"/>
      <c r="AM98" s="48"/>
      <c r="AN98" s="48"/>
      <c r="AO98" s="48"/>
      <c r="AP98" s="194"/>
      <c r="AQ98" s="194"/>
      <c r="AR98" s="194"/>
      <c r="AS98" s="194"/>
      <c r="AT98" s="194"/>
      <c r="AU98" s="194"/>
      <c r="AV98" s="194"/>
      <c r="AW98" s="194"/>
      <c r="AX98" s="194"/>
      <c r="AY98" s="194"/>
      <c r="AZ98" s="194"/>
      <c r="BA98" s="194"/>
      <c r="BB98" s="194"/>
      <c r="BC98" s="194"/>
      <c r="BD98" s="194"/>
      <c r="BE98" s="194"/>
      <c r="BF98" s="194"/>
      <c r="BG98" s="194"/>
      <c r="BH98" s="194"/>
      <c r="BI98" s="194"/>
      <c r="BJ98" s="194"/>
      <c r="BK98" s="194"/>
      <c r="BL98" s="194"/>
      <c r="BM98" s="194"/>
      <c r="BN98" s="194"/>
      <c r="BO98" s="194"/>
      <c r="BP98" s="194"/>
      <c r="BQ98" s="194"/>
      <c r="BR98" s="194"/>
      <c r="BS98" s="194"/>
      <c r="BT98" s="194"/>
      <c r="BU98" s="194"/>
      <c r="BV98" s="194"/>
      <c r="BW98" s="194"/>
      <c r="BX98" s="194"/>
      <c r="BY98" s="194"/>
      <c r="BZ98" s="194"/>
      <c r="CA98" s="194"/>
      <c r="CB98" s="194"/>
      <c r="CC98" s="194"/>
      <c r="CD98" s="194"/>
      <c r="CE98" s="194"/>
      <c r="CF98" s="194"/>
      <c r="CG98" s="194"/>
      <c r="CH98" s="194"/>
      <c r="CI98" s="194"/>
      <c r="CJ98" s="194"/>
      <c r="CK98" s="194"/>
      <c r="CL98" s="194"/>
      <c r="CM98" s="194"/>
      <c r="CN98" s="194"/>
      <c r="CO98" s="194"/>
      <c r="CP98" s="48"/>
      <c r="CQ98" s="194"/>
      <c r="CR98" s="194"/>
      <c r="CS98" s="194"/>
      <c r="CT98" s="194"/>
      <c r="CU98" s="194"/>
      <c r="CV98" s="194"/>
      <c r="CW98" s="194"/>
      <c r="CX98" s="194"/>
      <c r="CY98" s="194"/>
      <c r="CZ98" s="194"/>
      <c r="DA98" s="194"/>
      <c r="DB98" s="194"/>
      <c r="DC98" s="194"/>
      <c r="DD98" s="196"/>
      <c r="DE98" s="194"/>
      <c r="DF98" s="194"/>
      <c r="DG98" s="196"/>
      <c r="DH98" s="196"/>
      <c r="DI98" s="196"/>
      <c r="DJ98" s="194"/>
      <c r="DK98" s="194"/>
      <c r="DL98" s="194"/>
      <c r="DM98" s="194"/>
      <c r="DN98" s="194"/>
      <c r="DO98" s="194"/>
      <c r="DP98" s="194"/>
      <c r="DQ98" s="196"/>
      <c r="DR98" s="194"/>
      <c r="DS98" s="196"/>
      <c r="DT98" s="194"/>
      <c r="DU98" s="194"/>
      <c r="DV98" s="194"/>
      <c r="DW98" s="194"/>
      <c r="DX98" s="194"/>
      <c r="DY98" s="194"/>
      <c r="DZ98" s="194"/>
      <c r="EA98" s="194"/>
      <c r="EB98" s="194"/>
      <c r="EC98" s="194"/>
      <c r="ED98" s="194"/>
      <c r="EE98" s="194"/>
      <c r="EF98" s="194"/>
      <c r="EG98" s="194"/>
      <c r="EH98" s="194"/>
      <c r="EI98" s="194"/>
      <c r="EJ98" s="194"/>
      <c r="EK98" s="196"/>
      <c r="EL98" s="196"/>
      <c r="EM98" s="48"/>
      <c r="EN98" s="55"/>
      <c r="EO98" s="48"/>
      <c r="EP98" s="48"/>
      <c r="EQ98" s="196"/>
      <c r="ER98" s="194"/>
      <c r="ES98" s="48"/>
      <c r="ET98" s="194"/>
      <c r="EU98" s="194"/>
      <c r="EV98" s="194"/>
      <c r="EW98" s="211" t="s">
        <v>3849</v>
      </c>
      <c r="EX98" s="211" t="s">
        <v>3939</v>
      </c>
      <c r="EY98" s="211" t="s">
        <v>4001</v>
      </c>
      <c r="EZ98" s="211" t="s">
        <v>4063</v>
      </c>
      <c r="FA98" s="211" t="s">
        <v>4125</v>
      </c>
      <c r="FB98" s="211" t="s">
        <v>4189</v>
      </c>
      <c r="FC98" s="211" t="s">
        <v>4250</v>
      </c>
      <c r="FD98" s="211" t="s">
        <v>4311</v>
      </c>
      <c r="FE98" s="211" t="s">
        <v>4372</v>
      </c>
      <c r="FF98" s="194"/>
      <c r="FG98" s="194"/>
      <c r="FH98" s="194"/>
      <c r="FI98" s="194"/>
      <c r="FJ98" s="55"/>
      <c r="FK98" s="194"/>
      <c r="FL98" s="197"/>
      <c r="FM98" s="194"/>
      <c r="FN98" s="198"/>
      <c r="FO98" s="194"/>
      <c r="FP98" s="198"/>
      <c r="FQ98" s="194"/>
      <c r="FR98" s="43"/>
      <c r="FS98" s="194"/>
      <c r="FT98" s="194"/>
      <c r="FU98" s="194"/>
      <c r="FV98" s="199"/>
      <c r="FW98" s="194"/>
      <c r="FX98" s="200"/>
    </row>
    <row r="99" spans="1:180" ht="15" customHeight="1" x14ac:dyDescent="0.2">
      <c r="A99" s="158" t="s">
        <v>289</v>
      </c>
      <c r="B99" s="189" t="s">
        <v>2888</v>
      </c>
      <c r="C99" s="189" t="s">
        <v>2986</v>
      </c>
      <c r="D99" s="211" t="s">
        <v>3241</v>
      </c>
      <c r="E99" s="53" t="s">
        <v>472</v>
      </c>
      <c r="F99" s="212" t="s">
        <v>24</v>
      </c>
      <c r="G99" s="53"/>
      <c r="H99" s="211" t="s">
        <v>3341</v>
      </c>
      <c r="I99" s="211" t="s">
        <v>3440</v>
      </c>
      <c r="J99" s="211" t="s">
        <v>24</v>
      </c>
      <c r="K99" s="190"/>
      <c r="L99" s="189">
        <v>4</v>
      </c>
      <c r="M99" s="211" t="s">
        <v>3552</v>
      </c>
      <c r="N99" s="211" t="s">
        <v>3650</v>
      </c>
      <c r="O99" s="189" t="s">
        <v>292</v>
      </c>
      <c r="P99" s="189" t="s">
        <v>293</v>
      </c>
      <c r="Q99" s="211">
        <v>27098</v>
      </c>
      <c r="R99" s="189" t="s">
        <v>294</v>
      </c>
      <c r="S99" s="189" t="s">
        <v>3086</v>
      </c>
      <c r="T99" s="189" t="s">
        <v>3140</v>
      </c>
      <c r="U99" s="211">
        <v>8</v>
      </c>
      <c r="V99" s="211" t="s">
        <v>296</v>
      </c>
      <c r="W99" s="211" t="s">
        <v>3744</v>
      </c>
      <c r="X99" s="53"/>
      <c r="Y99" s="211">
        <v>1</v>
      </c>
      <c r="Z99" s="53" t="s">
        <v>298</v>
      </c>
      <c r="AA99" s="189" t="s">
        <v>3143</v>
      </c>
      <c r="AB99" s="189" t="s">
        <v>3144</v>
      </c>
      <c r="AC99" s="211" t="s">
        <v>3845</v>
      </c>
      <c r="AD99" s="164" t="b">
        <v>1</v>
      </c>
      <c r="AE99" s="192"/>
      <c r="AF99" s="193"/>
      <c r="AG99" s="193"/>
      <c r="AH99" s="193"/>
      <c r="AI99" s="193"/>
      <c r="AJ99" s="193"/>
      <c r="AK99" s="193"/>
      <c r="AL99" s="194"/>
      <c r="AM99" s="48"/>
      <c r="AN99" s="48"/>
      <c r="AO99" s="48"/>
      <c r="AP99" s="194"/>
      <c r="AQ99" s="194"/>
      <c r="AR99" s="194"/>
      <c r="AS99" s="194"/>
      <c r="AT99" s="194"/>
      <c r="AU99" s="194"/>
      <c r="AV99" s="194"/>
      <c r="AW99" s="194"/>
      <c r="AX99" s="194"/>
      <c r="AY99" s="194"/>
      <c r="AZ99" s="194"/>
      <c r="BA99" s="194"/>
      <c r="BB99" s="194"/>
      <c r="BC99" s="194"/>
      <c r="BD99" s="194"/>
      <c r="BE99" s="194"/>
      <c r="BF99" s="194"/>
      <c r="BG99" s="194"/>
      <c r="BH99" s="194"/>
      <c r="BI99" s="194"/>
      <c r="BJ99" s="194"/>
      <c r="BK99" s="194"/>
      <c r="BL99" s="194"/>
      <c r="BM99" s="194"/>
      <c r="BN99" s="194"/>
      <c r="BO99" s="194"/>
      <c r="BP99" s="194"/>
      <c r="BQ99" s="194"/>
      <c r="BR99" s="194"/>
      <c r="BS99" s="194"/>
      <c r="BT99" s="194"/>
      <c r="BU99" s="194"/>
      <c r="BV99" s="194"/>
      <c r="BW99" s="194"/>
      <c r="BX99" s="194"/>
      <c r="BY99" s="194"/>
      <c r="BZ99" s="194"/>
      <c r="CA99" s="194"/>
      <c r="CB99" s="194"/>
      <c r="CC99" s="194"/>
      <c r="CD99" s="194"/>
      <c r="CE99" s="194"/>
      <c r="CF99" s="194"/>
      <c r="CG99" s="194"/>
      <c r="CH99" s="194"/>
      <c r="CI99" s="194"/>
      <c r="CJ99" s="194"/>
      <c r="CK99" s="194"/>
      <c r="CL99" s="194"/>
      <c r="CM99" s="194"/>
      <c r="CN99" s="194"/>
      <c r="CO99" s="194"/>
      <c r="CP99" s="48"/>
      <c r="CQ99" s="194"/>
      <c r="CR99" s="194"/>
      <c r="CS99" s="194"/>
      <c r="CT99" s="194"/>
      <c r="CU99" s="194"/>
      <c r="CV99" s="194"/>
      <c r="CW99" s="194"/>
      <c r="CX99" s="194"/>
      <c r="CY99" s="194"/>
      <c r="CZ99" s="194"/>
      <c r="DA99" s="194"/>
      <c r="DB99" s="194"/>
      <c r="DC99" s="194"/>
      <c r="DD99" s="196"/>
      <c r="DE99" s="194"/>
      <c r="DF99" s="194"/>
      <c r="DG99" s="196"/>
      <c r="DH99" s="196"/>
      <c r="DI99" s="196"/>
      <c r="DJ99" s="194"/>
      <c r="DK99" s="194"/>
      <c r="DL99" s="194"/>
      <c r="DM99" s="194"/>
      <c r="DN99" s="194"/>
      <c r="DO99" s="194"/>
      <c r="DP99" s="194"/>
      <c r="DQ99" s="196"/>
      <c r="DR99" s="194"/>
      <c r="DS99" s="196"/>
      <c r="DT99" s="194"/>
      <c r="DU99" s="194"/>
      <c r="DV99" s="194"/>
      <c r="DW99" s="194"/>
      <c r="DX99" s="194"/>
      <c r="DY99" s="194"/>
      <c r="DZ99" s="194"/>
      <c r="EA99" s="194"/>
      <c r="EB99" s="194"/>
      <c r="EC99" s="194"/>
      <c r="ED99" s="194"/>
      <c r="EE99" s="194"/>
      <c r="EF99" s="194"/>
      <c r="EG99" s="194"/>
      <c r="EH99" s="194"/>
      <c r="EI99" s="194"/>
      <c r="EJ99" s="194"/>
      <c r="EK99" s="196"/>
      <c r="EL99" s="196"/>
      <c r="EM99" s="48"/>
      <c r="EN99" s="55"/>
      <c r="EO99" s="48"/>
      <c r="EP99" s="48"/>
      <c r="EQ99" s="196"/>
      <c r="ER99" s="194"/>
      <c r="ES99" s="48"/>
      <c r="ET99" s="194"/>
      <c r="EU99" s="194"/>
      <c r="EV99" s="194"/>
      <c r="EW99" s="211" t="s">
        <v>3920</v>
      </c>
      <c r="EX99" s="211" t="s">
        <v>3983</v>
      </c>
      <c r="EY99" s="211" t="s">
        <v>4045</v>
      </c>
      <c r="EZ99" s="211" t="s">
        <v>4107</v>
      </c>
      <c r="FA99" s="211" t="s">
        <v>4169</v>
      </c>
      <c r="FB99" s="211" t="s">
        <v>4233</v>
      </c>
      <c r="FC99" s="211" t="s">
        <v>4294</v>
      </c>
      <c r="FD99" s="211" t="s">
        <v>4355</v>
      </c>
      <c r="FE99" s="211" t="s">
        <v>4416</v>
      </c>
      <c r="FF99" s="194"/>
      <c r="FG99" s="194"/>
      <c r="FH99" s="194"/>
      <c r="FI99" s="194"/>
      <c r="FJ99" s="55"/>
      <c r="FK99" s="194"/>
      <c r="FL99" s="197"/>
      <c r="FM99" s="194"/>
      <c r="FN99" s="198"/>
      <c r="FO99" s="194"/>
      <c r="FP99" s="198"/>
      <c r="FQ99" s="194"/>
      <c r="FR99" s="43"/>
      <c r="FS99" s="194"/>
      <c r="FT99" s="194"/>
      <c r="FU99" s="194"/>
      <c r="FV99" s="199"/>
      <c r="FW99" s="194"/>
      <c r="FX99" s="200"/>
    </row>
    <row r="100" spans="1:180" ht="15" customHeight="1" x14ac:dyDescent="0.2">
      <c r="A100" s="180" t="s">
        <v>624</v>
      </c>
      <c r="B100" s="189" t="s">
        <v>2856</v>
      </c>
      <c r="C100" s="189" t="s">
        <v>2987</v>
      </c>
      <c r="D100" s="211" t="s">
        <v>3242</v>
      </c>
      <c r="E100" s="53" t="s">
        <v>24</v>
      </c>
      <c r="F100" s="213" t="s">
        <v>407</v>
      </c>
      <c r="G100" s="53"/>
      <c r="H100" s="211" t="s">
        <v>3342</v>
      </c>
      <c r="I100" s="211" t="s">
        <v>3441</v>
      </c>
      <c r="J100" s="211" t="s">
        <v>472</v>
      </c>
      <c r="K100" s="190"/>
      <c r="L100" s="189">
        <v>6</v>
      </c>
      <c r="M100" s="211" t="s">
        <v>3553</v>
      </c>
      <c r="N100" s="211" t="s">
        <v>3651</v>
      </c>
      <c r="O100" s="189" t="s">
        <v>292</v>
      </c>
      <c r="P100" s="189" t="s">
        <v>293</v>
      </c>
      <c r="Q100" s="211">
        <v>27099</v>
      </c>
      <c r="R100" s="189" t="s">
        <v>294</v>
      </c>
      <c r="S100" s="189" t="s">
        <v>3087</v>
      </c>
      <c r="T100" s="189" t="s">
        <v>3131</v>
      </c>
      <c r="U100" s="211">
        <v>13</v>
      </c>
      <c r="V100" s="211" t="s">
        <v>296</v>
      </c>
      <c r="W100" s="211" t="s">
        <v>3745</v>
      </c>
      <c r="X100" s="53"/>
      <c r="Y100" s="211">
        <v>1</v>
      </c>
      <c r="Z100" s="89" t="s">
        <v>298</v>
      </c>
      <c r="AA100" s="189" t="s">
        <v>3142</v>
      </c>
      <c r="AB100" s="189" t="s">
        <v>3146</v>
      </c>
      <c r="AC100" s="211" t="s">
        <v>3846</v>
      </c>
      <c r="AD100" s="164" t="b">
        <v>1</v>
      </c>
      <c r="AE100" s="192"/>
      <c r="AF100" s="193"/>
      <c r="AG100" s="193"/>
      <c r="AH100" s="193"/>
      <c r="AI100" s="193"/>
      <c r="AJ100" s="193"/>
      <c r="AK100" s="193"/>
      <c r="AL100" s="194"/>
      <c r="AM100" s="48"/>
      <c r="AN100" s="48"/>
      <c r="AO100" s="48"/>
      <c r="AP100" s="194"/>
      <c r="AQ100" s="194"/>
      <c r="AR100" s="194"/>
      <c r="AS100" s="194"/>
      <c r="AT100" s="194"/>
      <c r="AU100" s="194"/>
      <c r="AV100" s="194"/>
      <c r="AW100" s="194"/>
      <c r="AX100" s="194"/>
      <c r="AY100" s="194"/>
      <c r="AZ100" s="194"/>
      <c r="BA100" s="194"/>
      <c r="BB100" s="194"/>
      <c r="BC100" s="194"/>
      <c r="BD100" s="194"/>
      <c r="BE100" s="194"/>
      <c r="BF100" s="194"/>
      <c r="BG100" s="194"/>
      <c r="BH100" s="194"/>
      <c r="BI100" s="194"/>
      <c r="BJ100" s="194"/>
      <c r="BK100" s="194"/>
      <c r="BL100" s="194"/>
      <c r="BM100" s="194"/>
      <c r="BN100" s="194"/>
      <c r="BO100" s="194"/>
      <c r="BP100" s="194"/>
      <c r="BQ100" s="194"/>
      <c r="BR100" s="194"/>
      <c r="BS100" s="194"/>
      <c r="BT100" s="194"/>
      <c r="BU100" s="194"/>
      <c r="BV100" s="194"/>
      <c r="BW100" s="194"/>
      <c r="BX100" s="194"/>
      <c r="BY100" s="194"/>
      <c r="BZ100" s="194"/>
      <c r="CA100" s="194"/>
      <c r="CB100" s="194"/>
      <c r="CC100" s="194"/>
      <c r="CD100" s="194"/>
      <c r="CE100" s="194"/>
      <c r="CF100" s="194"/>
      <c r="CG100" s="194"/>
      <c r="CH100" s="194"/>
      <c r="CI100" s="194"/>
      <c r="CJ100" s="194"/>
      <c r="CK100" s="194"/>
      <c r="CL100" s="194"/>
      <c r="CM100" s="194"/>
      <c r="CN100" s="194"/>
      <c r="CO100" s="194"/>
      <c r="CP100" s="48"/>
      <c r="CQ100" s="194"/>
      <c r="CR100" s="194"/>
      <c r="CS100" s="194"/>
      <c r="CT100" s="194"/>
      <c r="CU100" s="194"/>
      <c r="CV100" s="194"/>
      <c r="CW100" s="194"/>
      <c r="CX100" s="194"/>
      <c r="CY100" s="194"/>
      <c r="CZ100" s="194"/>
      <c r="DA100" s="194"/>
      <c r="DB100" s="194"/>
      <c r="DC100" s="194"/>
      <c r="DD100" s="196"/>
      <c r="DE100" s="194"/>
      <c r="DF100" s="194"/>
      <c r="DG100" s="196"/>
      <c r="DH100" s="196"/>
      <c r="DI100" s="196"/>
      <c r="DJ100" s="194"/>
      <c r="DK100" s="194"/>
      <c r="DL100" s="194"/>
      <c r="DM100" s="194"/>
      <c r="DN100" s="194"/>
      <c r="DO100" s="194"/>
      <c r="DP100" s="194"/>
      <c r="DQ100" s="196"/>
      <c r="DR100" s="194"/>
      <c r="DS100" s="196"/>
      <c r="DT100" s="194"/>
      <c r="DU100" s="194"/>
      <c r="DV100" s="194"/>
      <c r="DW100" s="194"/>
      <c r="DX100" s="194"/>
      <c r="DY100" s="194"/>
      <c r="DZ100" s="194"/>
      <c r="EA100" s="194"/>
      <c r="EB100" s="194"/>
      <c r="EC100" s="194"/>
      <c r="ED100" s="194"/>
      <c r="EE100" s="194"/>
      <c r="EF100" s="194"/>
      <c r="EG100" s="194"/>
      <c r="EH100" s="194"/>
      <c r="EI100" s="194"/>
      <c r="EJ100" s="194"/>
      <c r="EK100" s="196"/>
      <c r="EL100" s="196"/>
      <c r="EM100" s="48"/>
      <c r="EN100" s="55"/>
      <c r="EO100" s="48"/>
      <c r="EP100" s="48"/>
      <c r="EQ100" s="196"/>
      <c r="ER100" s="194"/>
      <c r="ES100" s="48"/>
      <c r="ET100" s="194"/>
      <c r="EU100" s="194"/>
      <c r="EV100" s="194"/>
      <c r="EW100" s="211" t="s">
        <v>3903</v>
      </c>
      <c r="EX100" s="211" t="s">
        <v>3945</v>
      </c>
      <c r="EY100" s="211" t="s">
        <v>4007</v>
      </c>
      <c r="EZ100" s="211" t="s">
        <v>4069</v>
      </c>
      <c r="FA100" s="211" t="s">
        <v>4131</v>
      </c>
      <c r="FB100" s="211" t="s">
        <v>4195</v>
      </c>
      <c r="FC100" s="211" t="s">
        <v>4256</v>
      </c>
      <c r="FD100" s="211" t="s">
        <v>4317</v>
      </c>
      <c r="FE100" s="211" t="s">
        <v>4378</v>
      </c>
      <c r="FF100" s="194"/>
      <c r="FG100" s="194"/>
      <c r="FH100" s="194"/>
      <c r="FI100" s="194"/>
      <c r="FJ100" s="55"/>
      <c r="FK100" s="194"/>
      <c r="FL100" s="197"/>
      <c r="FM100" s="194"/>
      <c r="FN100" s="198"/>
      <c r="FO100" s="194"/>
      <c r="FP100" s="198"/>
      <c r="FQ100" s="194"/>
      <c r="FR100" s="43"/>
      <c r="FS100" s="194"/>
      <c r="FT100" s="194"/>
      <c r="FU100" s="194"/>
      <c r="FV100" s="199"/>
      <c r="FW100" s="194"/>
      <c r="FX100" s="200"/>
    </row>
    <row r="101" spans="1:180" ht="15" customHeight="1" x14ac:dyDescent="0.2">
      <c r="A101" s="182" t="s">
        <v>624</v>
      </c>
      <c r="B101" s="201" t="s">
        <v>2843</v>
      </c>
      <c r="C101" s="189" t="s">
        <v>2988</v>
      </c>
      <c r="D101" s="211" t="s">
        <v>3243</v>
      </c>
      <c r="E101" s="53" t="s">
        <v>24</v>
      </c>
      <c r="F101" s="212" t="s">
        <v>24</v>
      </c>
      <c r="G101" s="70"/>
      <c r="H101" s="211" t="s">
        <v>3343</v>
      </c>
      <c r="I101" s="211" t="s">
        <v>3442</v>
      </c>
      <c r="J101" s="211" t="s">
        <v>870</v>
      </c>
      <c r="K101" s="203"/>
      <c r="L101" s="189">
        <v>5</v>
      </c>
      <c r="M101" s="211" t="s">
        <v>3554</v>
      </c>
      <c r="N101" s="211" t="s">
        <v>3652</v>
      </c>
      <c r="O101" s="189" t="s">
        <v>292</v>
      </c>
      <c r="P101" s="189" t="s">
        <v>293</v>
      </c>
      <c r="Q101" s="211">
        <v>27100</v>
      </c>
      <c r="R101" s="189" t="s">
        <v>294</v>
      </c>
      <c r="S101" s="189" t="s">
        <v>3088</v>
      </c>
      <c r="T101" s="189" t="s">
        <v>813</v>
      </c>
      <c r="U101" s="211">
        <v>9</v>
      </c>
      <c r="V101" s="211" t="s">
        <v>296</v>
      </c>
      <c r="W101" s="211" t="s">
        <v>3746</v>
      </c>
      <c r="X101" s="70"/>
      <c r="Y101" s="211">
        <v>1</v>
      </c>
      <c r="Z101" s="53" t="s">
        <v>298</v>
      </c>
      <c r="AA101" s="189" t="s">
        <v>3142</v>
      </c>
      <c r="AB101" s="189" t="s">
        <v>3145</v>
      </c>
      <c r="AC101" s="211" t="s">
        <v>3847</v>
      </c>
      <c r="AD101" s="164" t="b">
        <v>0</v>
      </c>
      <c r="AE101" s="204"/>
      <c r="AF101" s="205"/>
      <c r="AG101" s="205"/>
      <c r="AH101" s="205"/>
      <c r="AI101" s="205"/>
      <c r="AJ101" s="205"/>
      <c r="AK101" s="205"/>
      <c r="AL101" s="195"/>
      <c r="AM101" s="87"/>
      <c r="AN101" s="87"/>
      <c r="AO101" s="87"/>
      <c r="AP101" s="195"/>
      <c r="AQ101" s="195"/>
      <c r="AR101" s="195"/>
      <c r="AS101" s="195"/>
      <c r="AT101" s="195"/>
      <c r="AU101" s="195"/>
      <c r="AV101" s="195"/>
      <c r="AW101" s="195"/>
      <c r="AX101" s="195"/>
      <c r="AY101" s="195"/>
      <c r="AZ101" s="195"/>
      <c r="BA101" s="195"/>
      <c r="BB101" s="195"/>
      <c r="BC101" s="195"/>
      <c r="BD101" s="195"/>
      <c r="BE101" s="195"/>
      <c r="BF101" s="195"/>
      <c r="BG101" s="195"/>
      <c r="BH101" s="195"/>
      <c r="BI101" s="195"/>
      <c r="BJ101" s="195"/>
      <c r="BK101" s="195"/>
      <c r="BL101" s="195"/>
      <c r="BM101" s="195"/>
      <c r="BN101" s="195"/>
      <c r="BO101" s="195"/>
      <c r="BP101" s="195"/>
      <c r="BQ101" s="195"/>
      <c r="BR101" s="195"/>
      <c r="BS101" s="195"/>
      <c r="BT101" s="195"/>
      <c r="BU101" s="195"/>
      <c r="BV101" s="195"/>
      <c r="BW101" s="195"/>
      <c r="BX101" s="195"/>
      <c r="BY101" s="195"/>
      <c r="BZ101" s="195"/>
      <c r="CA101" s="195"/>
      <c r="CB101" s="195"/>
      <c r="CC101" s="195"/>
      <c r="CD101" s="195"/>
      <c r="CE101" s="195"/>
      <c r="CF101" s="195"/>
      <c r="CG101" s="195"/>
      <c r="CH101" s="195"/>
      <c r="CI101" s="195"/>
      <c r="CJ101" s="195"/>
      <c r="CK101" s="195"/>
      <c r="CL101" s="195"/>
      <c r="CM101" s="195"/>
      <c r="CN101" s="195"/>
      <c r="CO101" s="195"/>
      <c r="CP101" s="87"/>
      <c r="CQ101" s="195"/>
      <c r="CR101" s="195"/>
      <c r="CS101" s="195"/>
      <c r="CT101" s="195"/>
      <c r="CU101" s="195"/>
      <c r="CV101" s="195"/>
      <c r="CW101" s="195"/>
      <c r="CX101" s="195"/>
      <c r="CY101" s="195"/>
      <c r="CZ101" s="195"/>
      <c r="DA101" s="195"/>
      <c r="DB101" s="195"/>
      <c r="DC101" s="195"/>
      <c r="DD101" s="196"/>
      <c r="DE101" s="195"/>
      <c r="DF101" s="195"/>
      <c r="DG101" s="196"/>
      <c r="DH101" s="196"/>
      <c r="DI101" s="196"/>
      <c r="DJ101" s="195"/>
      <c r="DK101" s="195"/>
      <c r="DL101" s="195"/>
      <c r="DM101" s="195"/>
      <c r="DN101" s="195"/>
      <c r="DO101" s="195"/>
      <c r="DP101" s="195"/>
      <c r="DQ101" s="196"/>
      <c r="DR101" s="195"/>
      <c r="DS101" s="196"/>
      <c r="DT101" s="195"/>
      <c r="DU101" s="195"/>
      <c r="DV101" s="195"/>
      <c r="DW101" s="195"/>
      <c r="DX101" s="195"/>
      <c r="DY101" s="195"/>
      <c r="DZ101" s="195"/>
      <c r="EA101" s="195"/>
      <c r="EB101" s="195"/>
      <c r="EC101" s="195"/>
      <c r="ED101" s="195"/>
      <c r="EE101" s="195"/>
      <c r="EF101" s="195"/>
      <c r="EG101" s="195"/>
      <c r="EH101" s="195"/>
      <c r="EI101" s="195"/>
      <c r="EJ101" s="195"/>
      <c r="EK101" s="196"/>
      <c r="EL101" s="196"/>
      <c r="EM101" s="87"/>
      <c r="EN101" s="206"/>
      <c r="EO101" s="87"/>
      <c r="EP101" s="87"/>
      <c r="EQ101" s="196"/>
      <c r="ER101" s="195"/>
      <c r="ES101" s="87"/>
      <c r="ET101" s="195"/>
      <c r="EU101" s="195"/>
      <c r="EV101" s="195"/>
      <c r="EW101" s="211" t="s">
        <v>3904</v>
      </c>
      <c r="EX101" s="211" t="s">
        <v>3971</v>
      </c>
      <c r="EY101" s="211" t="s">
        <v>4033</v>
      </c>
      <c r="EZ101" s="211" t="s">
        <v>4095</v>
      </c>
      <c r="FA101" s="211" t="s">
        <v>4157</v>
      </c>
      <c r="FB101" s="211" t="s">
        <v>4221</v>
      </c>
      <c r="FC101" s="211" t="s">
        <v>4282</v>
      </c>
      <c r="FD101" s="211" t="s">
        <v>4343</v>
      </c>
      <c r="FE101" s="211" t="s">
        <v>4404</v>
      </c>
      <c r="FF101" s="195"/>
      <c r="FG101" s="195"/>
      <c r="FH101" s="195"/>
      <c r="FI101" s="195"/>
      <c r="FJ101" s="206"/>
      <c r="FK101" s="195"/>
      <c r="FL101" s="207"/>
      <c r="FM101" s="195"/>
      <c r="FN101" s="208"/>
      <c r="FO101" s="195"/>
      <c r="FP101" s="208"/>
      <c r="FQ101" s="195"/>
      <c r="FR101" s="202"/>
      <c r="FS101" s="195"/>
      <c r="FT101" s="195"/>
      <c r="FU101" s="195"/>
      <c r="FV101" s="209"/>
      <c r="FW101" s="195"/>
      <c r="FX101" s="200"/>
    </row>
    <row r="102" spans="1:180" ht="15" customHeight="1" x14ac:dyDescent="0.2">
      <c r="A102" s="155"/>
      <c r="B102" s="201"/>
      <c r="C102" s="189"/>
      <c r="D102" s="90"/>
      <c r="E102" s="53"/>
      <c r="F102" s="214"/>
      <c r="G102" s="53"/>
      <c r="H102" s="53"/>
      <c r="I102" s="53"/>
      <c r="J102" s="53"/>
      <c r="K102" s="190"/>
      <c r="L102" s="53"/>
      <c r="M102" s="53"/>
      <c r="N102" s="53"/>
      <c r="O102" s="53"/>
      <c r="P102" s="53"/>
      <c r="Q102" s="53"/>
      <c r="R102" s="53"/>
      <c r="S102" s="189"/>
      <c r="T102" s="189"/>
      <c r="U102" s="191"/>
      <c r="V102" s="191"/>
      <c r="W102" s="91"/>
      <c r="X102" s="53"/>
      <c r="Y102" s="48"/>
      <c r="Z102" s="210"/>
      <c r="AA102" s="48"/>
      <c r="AB102" s="48"/>
      <c r="AC102" s="48"/>
      <c r="AD102" s="70"/>
      <c r="AE102" s="192"/>
      <c r="AF102" s="193"/>
      <c r="AG102" s="193"/>
      <c r="AH102" s="193"/>
      <c r="AI102" s="193"/>
      <c r="AJ102" s="193"/>
      <c r="AK102" s="193"/>
      <c r="AL102" s="194"/>
      <c r="AM102" s="48"/>
      <c r="AN102" s="48"/>
      <c r="AO102" s="48"/>
      <c r="AP102" s="194"/>
      <c r="AQ102" s="194"/>
      <c r="AR102" s="194"/>
      <c r="AS102" s="194"/>
      <c r="AT102" s="194"/>
      <c r="AU102" s="194"/>
      <c r="AV102" s="194"/>
      <c r="AW102" s="194"/>
      <c r="AX102" s="194"/>
      <c r="AY102" s="194"/>
      <c r="AZ102" s="194"/>
      <c r="BA102" s="194"/>
      <c r="BB102" s="194"/>
      <c r="BC102" s="194"/>
      <c r="BD102" s="194"/>
      <c r="BE102" s="194"/>
      <c r="BF102" s="194"/>
      <c r="BG102" s="194"/>
      <c r="BH102" s="194"/>
      <c r="BI102" s="194"/>
      <c r="BJ102" s="194"/>
      <c r="BK102" s="194"/>
      <c r="BL102" s="194"/>
      <c r="BM102" s="194"/>
      <c r="BN102" s="194"/>
      <c r="BO102" s="194"/>
      <c r="BP102" s="194"/>
      <c r="BQ102" s="194"/>
      <c r="BR102" s="194"/>
      <c r="BS102" s="194"/>
      <c r="BT102" s="194"/>
      <c r="BU102" s="194"/>
      <c r="BV102" s="194"/>
      <c r="BW102" s="194"/>
      <c r="BX102" s="194"/>
      <c r="BY102" s="194"/>
      <c r="BZ102" s="194"/>
      <c r="CA102" s="194"/>
      <c r="CB102" s="194"/>
      <c r="CC102" s="194"/>
      <c r="CD102" s="194"/>
      <c r="CE102" s="194"/>
      <c r="CF102" s="194"/>
      <c r="CG102" s="194"/>
      <c r="CH102" s="194"/>
      <c r="CI102" s="194"/>
      <c r="CJ102" s="194"/>
      <c r="CK102" s="194"/>
      <c r="CL102" s="194"/>
      <c r="CM102" s="194"/>
      <c r="CN102" s="194"/>
      <c r="CO102" s="194"/>
      <c r="CP102" s="48"/>
      <c r="CQ102" s="194"/>
      <c r="CR102" s="194"/>
      <c r="CS102" s="194"/>
      <c r="CT102" s="194"/>
      <c r="CU102" s="194"/>
      <c r="CV102" s="194"/>
      <c r="CW102" s="194"/>
      <c r="CX102" s="194"/>
      <c r="CY102" s="194"/>
      <c r="CZ102" s="194"/>
      <c r="DA102" s="194"/>
      <c r="DB102" s="194"/>
      <c r="DC102" s="194"/>
      <c r="DD102" s="195"/>
      <c r="DE102" s="194"/>
      <c r="DF102" s="194"/>
      <c r="DG102" s="195"/>
      <c r="DH102" s="195"/>
      <c r="DI102" s="195"/>
      <c r="DJ102" s="194"/>
      <c r="DK102" s="194"/>
      <c r="DL102" s="194"/>
      <c r="DM102" s="194"/>
      <c r="DN102" s="194"/>
      <c r="DO102" s="194"/>
      <c r="DP102" s="194"/>
      <c r="DQ102" s="195"/>
      <c r="DR102" s="194"/>
      <c r="DS102" s="195"/>
      <c r="DT102" s="194"/>
      <c r="DU102" s="194"/>
      <c r="DV102" s="194"/>
      <c r="DW102" s="194"/>
      <c r="DX102" s="194"/>
      <c r="DY102" s="194"/>
      <c r="DZ102" s="194"/>
      <c r="EA102" s="194"/>
      <c r="EB102" s="194"/>
      <c r="EC102" s="194"/>
      <c r="ED102" s="194"/>
      <c r="EE102" s="194"/>
      <c r="EF102" s="194"/>
      <c r="EG102" s="194"/>
      <c r="EH102" s="194"/>
      <c r="EI102" s="194"/>
      <c r="EJ102" s="194"/>
      <c r="EK102" s="195"/>
      <c r="EL102" s="195"/>
      <c r="EM102" s="48"/>
      <c r="EN102" s="55"/>
      <c r="EO102" s="48"/>
      <c r="EP102" s="48"/>
      <c r="EQ102" s="195"/>
      <c r="ER102" s="194"/>
      <c r="ES102" s="48"/>
      <c r="ET102" s="194"/>
      <c r="EU102" s="194"/>
      <c r="EV102" s="194"/>
      <c r="EW102" s="194"/>
      <c r="EX102" s="194"/>
      <c r="EY102" s="194"/>
      <c r="FA102" s="194"/>
      <c r="FB102" s="194"/>
      <c r="FC102" s="194"/>
      <c r="FD102" s="48"/>
      <c r="FE102" s="194"/>
      <c r="FF102" s="194"/>
      <c r="FG102" s="194"/>
      <c r="FH102" s="194"/>
      <c r="FI102" s="194"/>
      <c r="FJ102" s="55"/>
      <c r="FK102" s="194"/>
      <c r="FL102" s="197"/>
      <c r="FM102" s="194"/>
      <c r="FN102" s="198"/>
      <c r="FO102" s="194"/>
      <c r="FP102" s="198"/>
      <c r="FQ102" s="194"/>
      <c r="FR102" s="43"/>
      <c r="FS102" s="194"/>
      <c r="FT102" s="194"/>
      <c r="FU102" s="194"/>
      <c r="FV102" s="199"/>
      <c r="FW102" s="194"/>
      <c r="FX102" s="200"/>
    </row>
    <row r="103" spans="1:180" ht="15" customHeight="1" x14ac:dyDescent="0.2">
      <c r="A103" s="155"/>
      <c r="B103" s="201"/>
      <c r="C103" s="189"/>
      <c r="D103" s="90"/>
      <c r="E103" s="202"/>
      <c r="F103" s="212"/>
      <c r="G103" s="53"/>
      <c r="H103" s="53"/>
      <c r="I103" s="53"/>
      <c r="J103" s="53"/>
      <c r="K103" s="190"/>
      <c r="L103" s="53"/>
      <c r="M103" s="53"/>
      <c r="N103" s="53"/>
      <c r="O103" s="53"/>
      <c r="P103" s="53"/>
      <c r="Q103" s="53"/>
      <c r="R103" s="53"/>
      <c r="S103" s="189"/>
      <c r="T103" s="189"/>
      <c r="U103" s="191"/>
      <c r="V103" s="191"/>
      <c r="W103" s="91"/>
      <c r="X103" s="53"/>
      <c r="Y103" s="48"/>
      <c r="Z103" s="139"/>
      <c r="AA103" s="48"/>
      <c r="AB103" s="48"/>
      <c r="AC103" s="48"/>
      <c r="AD103" s="70"/>
      <c r="AE103" s="192"/>
      <c r="AF103" s="193"/>
      <c r="AG103" s="193"/>
      <c r="AH103" s="193"/>
      <c r="AI103" s="193"/>
      <c r="AJ103" s="193"/>
      <c r="AK103" s="193"/>
      <c r="AL103" s="194"/>
      <c r="AM103" s="48"/>
      <c r="AN103" s="48"/>
      <c r="AO103" s="48"/>
      <c r="AP103" s="194"/>
      <c r="AQ103" s="194"/>
      <c r="AR103" s="194"/>
      <c r="AS103" s="194"/>
      <c r="AT103" s="194"/>
      <c r="AU103" s="194"/>
      <c r="AV103" s="194"/>
      <c r="AW103" s="194"/>
      <c r="AX103" s="194"/>
      <c r="AY103" s="194"/>
      <c r="AZ103" s="194"/>
      <c r="BA103" s="194"/>
      <c r="BB103" s="194"/>
      <c r="BC103" s="194"/>
      <c r="BD103" s="194"/>
      <c r="BE103" s="194"/>
      <c r="BF103" s="194"/>
      <c r="BG103" s="194"/>
      <c r="BH103" s="194"/>
      <c r="BI103" s="194"/>
      <c r="BJ103" s="194"/>
      <c r="BK103" s="194"/>
      <c r="BL103" s="194"/>
      <c r="BM103" s="194"/>
      <c r="BN103" s="194"/>
      <c r="BO103" s="194"/>
      <c r="BP103" s="194"/>
      <c r="BQ103" s="194"/>
      <c r="BR103" s="194"/>
      <c r="BS103" s="194"/>
      <c r="BT103" s="194"/>
      <c r="BU103" s="194"/>
      <c r="BV103" s="194"/>
      <c r="BW103" s="194"/>
      <c r="BX103" s="194"/>
      <c r="BY103" s="194"/>
      <c r="BZ103" s="194"/>
      <c r="CA103" s="194"/>
      <c r="CB103" s="194"/>
      <c r="CC103" s="194"/>
      <c r="CD103" s="194"/>
      <c r="CE103" s="194"/>
      <c r="CF103" s="194"/>
      <c r="CG103" s="194"/>
      <c r="CH103" s="194"/>
      <c r="CI103" s="194"/>
      <c r="CJ103" s="194"/>
      <c r="CK103" s="194"/>
      <c r="CL103" s="194"/>
      <c r="CM103" s="194"/>
      <c r="CN103" s="194"/>
      <c r="CO103" s="194"/>
      <c r="CP103" s="48"/>
      <c r="CQ103" s="194"/>
      <c r="CR103" s="194"/>
      <c r="CS103" s="194"/>
      <c r="CT103" s="194"/>
      <c r="CU103" s="194"/>
      <c r="CV103" s="194"/>
      <c r="CW103" s="194"/>
      <c r="CX103" s="194"/>
      <c r="CY103" s="194"/>
      <c r="CZ103" s="194"/>
      <c r="DA103" s="194"/>
      <c r="DB103" s="194"/>
      <c r="DC103" s="194"/>
      <c r="DD103" s="195"/>
      <c r="DE103" s="194"/>
      <c r="DF103" s="194"/>
      <c r="DG103" s="195"/>
      <c r="DH103" s="195"/>
      <c r="DI103" s="195"/>
      <c r="DJ103" s="194"/>
      <c r="DK103" s="194"/>
      <c r="DL103" s="194"/>
      <c r="DM103" s="194"/>
      <c r="DN103" s="194"/>
      <c r="DO103" s="194"/>
      <c r="DP103" s="194"/>
      <c r="DQ103" s="195"/>
      <c r="DR103" s="194"/>
      <c r="DS103" s="195"/>
      <c r="DT103" s="194"/>
      <c r="DU103" s="194"/>
      <c r="DV103" s="194"/>
      <c r="DW103" s="194"/>
      <c r="DX103" s="194"/>
      <c r="DY103" s="194"/>
      <c r="DZ103" s="194"/>
      <c r="EA103" s="194"/>
      <c r="EB103" s="194"/>
      <c r="EC103" s="194"/>
      <c r="ED103" s="194"/>
      <c r="EE103" s="194"/>
      <c r="EF103" s="194"/>
      <c r="EG103" s="194"/>
      <c r="EH103" s="194"/>
      <c r="EI103" s="194"/>
      <c r="EJ103" s="194"/>
      <c r="EK103" s="195"/>
      <c r="EL103" s="195"/>
      <c r="EM103" s="48"/>
      <c r="EN103" s="55"/>
      <c r="EO103" s="48"/>
      <c r="EP103" s="48"/>
      <c r="EQ103" s="195"/>
      <c r="ER103" s="194"/>
      <c r="ES103" s="48"/>
      <c r="ET103" s="194"/>
      <c r="EU103" s="194"/>
      <c r="EV103" s="194"/>
      <c r="EW103" s="194"/>
      <c r="EX103" s="194"/>
      <c r="EY103" s="194"/>
      <c r="FA103" s="194"/>
      <c r="FB103" s="194"/>
      <c r="FC103" s="194"/>
      <c r="FD103" s="48"/>
      <c r="FE103" s="194"/>
      <c r="FF103" s="194"/>
      <c r="FG103" s="194"/>
      <c r="FH103" s="194"/>
      <c r="FI103" s="194"/>
      <c r="FJ103" s="55"/>
      <c r="FK103" s="194"/>
      <c r="FL103" s="197"/>
      <c r="FM103" s="194"/>
      <c r="FN103" s="198"/>
      <c r="FO103" s="194"/>
      <c r="FP103" s="198"/>
      <c r="FQ103" s="194"/>
      <c r="FR103" s="43"/>
      <c r="FS103" s="194"/>
      <c r="FT103" s="194"/>
      <c r="FU103" s="194"/>
      <c r="FV103" s="199"/>
      <c r="FW103" s="194"/>
      <c r="FX103" s="200"/>
    </row>
    <row r="104" spans="1:180" ht="15" customHeight="1" x14ac:dyDescent="0.2">
      <c r="A104" s="99"/>
      <c r="B104" s="201"/>
      <c r="C104" s="189"/>
      <c r="D104" s="90"/>
      <c r="E104" s="202"/>
      <c r="F104" s="213"/>
      <c r="G104" s="53"/>
      <c r="H104" s="53"/>
      <c r="I104" s="53"/>
      <c r="J104" s="53"/>
      <c r="K104" s="190"/>
      <c r="L104" s="53"/>
      <c r="M104" s="53"/>
      <c r="N104" s="53"/>
      <c r="O104" s="53"/>
      <c r="P104" s="53"/>
      <c r="Q104" s="53"/>
      <c r="R104" s="53"/>
      <c r="S104" s="189"/>
      <c r="T104" s="189"/>
      <c r="U104" s="191"/>
      <c r="V104" s="191"/>
      <c r="W104" s="91"/>
      <c r="X104" s="53"/>
      <c r="Y104" s="48"/>
      <c r="Z104" s="140"/>
      <c r="AA104" s="48"/>
      <c r="AB104" s="48"/>
      <c r="AC104" s="48"/>
      <c r="AD104" s="70"/>
      <c r="AE104" s="192"/>
      <c r="AF104" s="193"/>
      <c r="AG104" s="193"/>
      <c r="AH104" s="193"/>
      <c r="AI104" s="193"/>
      <c r="AJ104" s="193"/>
      <c r="AK104" s="193"/>
      <c r="AL104" s="194"/>
      <c r="AM104" s="48"/>
      <c r="AN104" s="48"/>
      <c r="AO104" s="48"/>
      <c r="AP104" s="194"/>
      <c r="AQ104" s="194"/>
      <c r="AR104" s="194"/>
      <c r="AS104" s="194"/>
      <c r="AT104" s="194"/>
      <c r="AU104" s="194"/>
      <c r="AV104" s="194"/>
      <c r="AW104" s="194"/>
      <c r="AX104" s="194"/>
      <c r="AY104" s="194"/>
      <c r="AZ104" s="194"/>
      <c r="BA104" s="194"/>
      <c r="BB104" s="194"/>
      <c r="BC104" s="194"/>
      <c r="BD104" s="194"/>
      <c r="BE104" s="194"/>
      <c r="BF104" s="194"/>
      <c r="BG104" s="194"/>
      <c r="BH104" s="194"/>
      <c r="BI104" s="194"/>
      <c r="BJ104" s="194"/>
      <c r="BK104" s="194"/>
      <c r="BL104" s="194"/>
      <c r="BM104" s="194"/>
      <c r="BN104" s="194"/>
      <c r="BO104" s="194"/>
      <c r="BP104" s="194"/>
      <c r="BQ104" s="194"/>
      <c r="BR104" s="194"/>
      <c r="BS104" s="194"/>
      <c r="BT104" s="194"/>
      <c r="BU104" s="194"/>
      <c r="BV104" s="194"/>
      <c r="BW104" s="194"/>
      <c r="BX104" s="194"/>
      <c r="BY104" s="194"/>
      <c r="BZ104" s="194"/>
      <c r="CA104" s="194"/>
      <c r="CB104" s="194"/>
      <c r="CC104" s="194"/>
      <c r="CD104" s="194"/>
      <c r="CE104" s="194"/>
      <c r="CF104" s="194"/>
      <c r="CG104" s="194"/>
      <c r="CH104" s="194"/>
      <c r="CI104" s="194"/>
      <c r="CJ104" s="194"/>
      <c r="CK104" s="194"/>
      <c r="CL104" s="194"/>
      <c r="CM104" s="194"/>
      <c r="CN104" s="194"/>
      <c r="CO104" s="194"/>
      <c r="CP104" s="48"/>
      <c r="CQ104" s="194"/>
      <c r="CR104" s="194"/>
      <c r="CS104" s="194"/>
      <c r="CT104" s="194"/>
      <c r="CU104" s="194"/>
      <c r="CV104" s="194"/>
      <c r="CW104" s="194"/>
      <c r="CX104" s="194"/>
      <c r="CY104" s="194"/>
      <c r="CZ104" s="194"/>
      <c r="DA104" s="194"/>
      <c r="DB104" s="194"/>
      <c r="DC104" s="194"/>
      <c r="DD104" s="195"/>
      <c r="DE104" s="194"/>
      <c r="DF104" s="194"/>
      <c r="DG104" s="195"/>
      <c r="DH104" s="195"/>
      <c r="DI104" s="195"/>
      <c r="DJ104" s="194"/>
      <c r="DK104" s="194"/>
      <c r="DL104" s="194"/>
      <c r="DM104" s="194"/>
      <c r="DN104" s="194"/>
      <c r="DO104" s="194"/>
      <c r="DP104" s="194"/>
      <c r="DQ104" s="195"/>
      <c r="DR104" s="194"/>
      <c r="DS104" s="195"/>
      <c r="DT104" s="194"/>
      <c r="DU104" s="194"/>
      <c r="DV104" s="194"/>
      <c r="DW104" s="194"/>
      <c r="DX104" s="194"/>
      <c r="DY104" s="194"/>
      <c r="DZ104" s="194"/>
      <c r="EA104" s="194"/>
      <c r="EB104" s="194"/>
      <c r="EC104" s="194"/>
      <c r="ED104" s="194"/>
      <c r="EE104" s="194"/>
      <c r="EF104" s="194"/>
      <c r="EG104" s="194"/>
      <c r="EH104" s="194"/>
      <c r="EI104" s="194"/>
      <c r="EJ104" s="194"/>
      <c r="EK104" s="195"/>
      <c r="EL104" s="195"/>
      <c r="EM104" s="48"/>
      <c r="EN104" s="55"/>
      <c r="EO104" s="48"/>
      <c r="EP104" s="48"/>
      <c r="EQ104" s="195"/>
      <c r="ER104" s="194"/>
      <c r="ES104" s="48"/>
      <c r="ET104" s="194"/>
      <c r="EU104" s="194"/>
      <c r="EV104" s="194"/>
      <c r="EW104" s="194"/>
      <c r="EX104" s="194"/>
      <c r="EY104" s="194"/>
      <c r="EZ104" s="194"/>
      <c r="FA104" s="194"/>
      <c r="FB104" s="194"/>
      <c r="FC104" s="194"/>
      <c r="FD104" s="48"/>
      <c r="FE104" s="194"/>
      <c r="FF104" s="194"/>
      <c r="FG104" s="194"/>
      <c r="FH104" s="194"/>
      <c r="FI104" s="194"/>
      <c r="FJ104" s="55"/>
      <c r="FK104" s="194"/>
      <c r="FL104" s="197"/>
      <c r="FM104" s="194"/>
      <c r="FN104" s="198"/>
      <c r="FO104" s="194"/>
      <c r="FP104" s="198"/>
      <c r="FQ104" s="194"/>
      <c r="FR104" s="43"/>
      <c r="FS104" s="194"/>
      <c r="FT104" s="194"/>
      <c r="FU104" s="194"/>
      <c r="FV104" s="199"/>
      <c r="FW104" s="194"/>
      <c r="FX104" s="200"/>
    </row>
    <row r="105" spans="1:180" ht="15" customHeight="1" x14ac:dyDescent="0.2">
      <c r="A105" s="100"/>
      <c r="B105" s="201"/>
      <c r="C105" s="189"/>
      <c r="D105" s="90"/>
      <c r="E105" s="202"/>
      <c r="F105" s="212"/>
      <c r="G105" s="53"/>
      <c r="H105" s="53"/>
      <c r="I105" s="53"/>
      <c r="J105" s="53"/>
      <c r="K105" s="190"/>
      <c r="L105" s="53"/>
      <c r="M105" s="53"/>
      <c r="N105" s="53"/>
      <c r="O105" s="53"/>
      <c r="P105" s="53"/>
      <c r="Q105" s="53"/>
      <c r="R105" s="53"/>
      <c r="S105" s="189"/>
      <c r="T105" s="189"/>
      <c r="U105" s="191"/>
      <c r="V105" s="191"/>
      <c r="W105" s="91"/>
      <c r="X105" s="53"/>
      <c r="Y105" s="48"/>
      <c r="Z105" s="140"/>
      <c r="AA105" s="48"/>
      <c r="AB105" s="48"/>
      <c r="AC105" s="48"/>
      <c r="AD105" s="70"/>
      <c r="AE105" s="192"/>
      <c r="AF105" s="193"/>
      <c r="AG105" s="193"/>
      <c r="AH105" s="193"/>
      <c r="AI105" s="193"/>
      <c r="AJ105" s="193"/>
      <c r="AK105" s="193"/>
      <c r="AL105" s="194"/>
      <c r="AM105" s="48"/>
      <c r="AN105" s="48"/>
      <c r="AO105" s="48"/>
      <c r="AP105" s="194"/>
      <c r="AQ105" s="194"/>
      <c r="AR105" s="194"/>
      <c r="AS105" s="194"/>
      <c r="AT105" s="194"/>
      <c r="AU105" s="194"/>
      <c r="AV105" s="194"/>
      <c r="AW105" s="194"/>
      <c r="AX105" s="194"/>
      <c r="AY105" s="194"/>
      <c r="AZ105" s="194"/>
      <c r="BA105" s="194"/>
      <c r="BB105" s="194"/>
      <c r="BC105" s="194"/>
      <c r="BD105" s="194"/>
      <c r="BE105" s="194"/>
      <c r="BF105" s="194"/>
      <c r="BG105" s="194"/>
      <c r="BH105" s="194"/>
      <c r="BI105" s="194"/>
      <c r="BJ105" s="194"/>
      <c r="BK105" s="194"/>
      <c r="BL105" s="194"/>
      <c r="BM105" s="194"/>
      <c r="BN105" s="194"/>
      <c r="BO105" s="194"/>
      <c r="BP105" s="194"/>
      <c r="BQ105" s="194"/>
      <c r="BR105" s="194"/>
      <c r="BS105" s="194"/>
      <c r="BT105" s="194"/>
      <c r="BU105" s="194"/>
      <c r="BV105" s="194"/>
      <c r="BW105" s="194"/>
      <c r="BX105" s="194"/>
      <c r="BY105" s="194"/>
      <c r="BZ105" s="194"/>
      <c r="CA105" s="194"/>
      <c r="CB105" s="194"/>
      <c r="CC105" s="194"/>
      <c r="CD105" s="194"/>
      <c r="CE105" s="194"/>
      <c r="CF105" s="194"/>
      <c r="CG105" s="194"/>
      <c r="CH105" s="194"/>
      <c r="CI105" s="194"/>
      <c r="CJ105" s="194"/>
      <c r="CK105" s="194"/>
      <c r="CL105" s="194"/>
      <c r="CM105" s="194"/>
      <c r="CN105" s="194"/>
      <c r="CO105" s="194"/>
      <c r="CP105" s="48"/>
      <c r="CQ105" s="194"/>
      <c r="CR105" s="194"/>
      <c r="CS105" s="194"/>
      <c r="CT105" s="194"/>
      <c r="CU105" s="194"/>
      <c r="CV105" s="194"/>
      <c r="CW105" s="194"/>
      <c r="CX105" s="194"/>
      <c r="CY105" s="194"/>
      <c r="CZ105" s="194"/>
      <c r="DA105" s="194"/>
      <c r="DB105" s="194"/>
      <c r="DC105" s="194"/>
      <c r="DD105" s="196"/>
      <c r="DE105" s="194"/>
      <c r="DF105" s="194"/>
      <c r="DG105" s="196"/>
      <c r="DH105" s="196"/>
      <c r="DI105" s="196"/>
      <c r="DJ105" s="194"/>
      <c r="DK105" s="194"/>
      <c r="DL105" s="194"/>
      <c r="DM105" s="194"/>
      <c r="DN105" s="194"/>
      <c r="DO105" s="194"/>
      <c r="DP105" s="194"/>
      <c r="DQ105" s="196"/>
      <c r="DR105" s="194"/>
      <c r="DS105" s="196"/>
      <c r="DT105" s="194"/>
      <c r="DU105" s="194"/>
      <c r="DV105" s="194"/>
      <c r="DW105" s="194"/>
      <c r="DX105" s="194"/>
      <c r="DY105" s="194"/>
      <c r="DZ105" s="194"/>
      <c r="EA105" s="194"/>
      <c r="EB105" s="194"/>
      <c r="EC105" s="194"/>
      <c r="ED105" s="194"/>
      <c r="EE105" s="194"/>
      <c r="EF105" s="194"/>
      <c r="EG105" s="194"/>
      <c r="EH105" s="194"/>
      <c r="EI105" s="194"/>
      <c r="EJ105" s="194"/>
      <c r="EK105" s="196"/>
      <c r="EL105" s="196"/>
      <c r="EM105" s="48"/>
      <c r="EN105" s="55"/>
      <c r="EO105" s="48"/>
      <c r="EP105" s="48"/>
      <c r="EQ105" s="196"/>
      <c r="ER105" s="194"/>
      <c r="ES105" s="48"/>
      <c r="ET105" s="194"/>
      <c r="EU105" s="194"/>
      <c r="EV105" s="194"/>
      <c r="EW105" s="194"/>
      <c r="EX105" s="194"/>
      <c r="EY105" s="194"/>
      <c r="EZ105" s="194"/>
      <c r="FA105" s="194"/>
      <c r="FB105" s="194"/>
      <c r="FC105" s="194"/>
      <c r="FD105" s="48"/>
      <c r="FE105" s="194"/>
      <c r="FF105" s="194"/>
      <c r="FG105" s="194"/>
      <c r="FH105" s="194"/>
      <c r="FI105" s="194"/>
      <c r="FJ105" s="55"/>
      <c r="FK105" s="194"/>
      <c r="FL105" s="197"/>
      <c r="FM105" s="194"/>
      <c r="FN105" s="198"/>
      <c r="FO105" s="194"/>
      <c r="FP105" s="198"/>
      <c r="FQ105" s="194"/>
      <c r="FR105" s="43"/>
      <c r="FS105" s="194"/>
      <c r="FT105" s="194"/>
      <c r="FU105" s="194"/>
      <c r="FV105" s="199"/>
      <c r="FW105" s="194"/>
      <c r="FX105" s="200"/>
    </row>
    <row r="106" spans="1:180" ht="15" customHeight="1" x14ac:dyDescent="0.2">
      <c r="A106" s="173"/>
      <c r="B106" s="201"/>
      <c r="C106" s="189"/>
      <c r="D106" s="90"/>
      <c r="E106" s="202"/>
      <c r="F106" s="214"/>
      <c r="G106" s="53"/>
      <c r="H106" s="53"/>
      <c r="I106" s="53"/>
      <c r="J106" s="53"/>
      <c r="K106" s="190"/>
      <c r="L106" s="53"/>
      <c r="M106" s="53"/>
      <c r="N106" s="53"/>
      <c r="O106" s="53"/>
      <c r="P106" s="53"/>
      <c r="Q106" s="53"/>
      <c r="R106" s="53"/>
      <c r="S106" s="189"/>
      <c r="T106" s="189"/>
      <c r="U106" s="191"/>
      <c r="V106" s="191"/>
      <c r="W106" s="91"/>
      <c r="X106" s="53"/>
      <c r="Y106" s="48"/>
      <c r="Z106" s="140"/>
      <c r="AA106" s="48"/>
      <c r="AB106" s="48"/>
      <c r="AC106" s="48"/>
      <c r="AD106" s="70"/>
      <c r="AE106" s="192"/>
      <c r="AF106" s="193"/>
      <c r="AG106" s="193"/>
      <c r="AH106" s="193"/>
      <c r="AI106" s="193"/>
      <c r="AJ106" s="193"/>
      <c r="AK106" s="193"/>
      <c r="AL106" s="194"/>
      <c r="AM106" s="48"/>
      <c r="AN106" s="48"/>
      <c r="AO106" s="48"/>
      <c r="AP106" s="194"/>
      <c r="AQ106" s="194"/>
      <c r="AR106" s="194"/>
      <c r="AS106" s="194"/>
      <c r="AT106" s="194"/>
      <c r="AU106" s="194"/>
      <c r="AV106" s="194"/>
      <c r="AW106" s="194"/>
      <c r="AX106" s="194"/>
      <c r="AY106" s="194"/>
      <c r="AZ106" s="194"/>
      <c r="BA106" s="194"/>
      <c r="BB106" s="194"/>
      <c r="BC106" s="194"/>
      <c r="BD106" s="194"/>
      <c r="BE106" s="194"/>
      <c r="BF106" s="194"/>
      <c r="BG106" s="194"/>
      <c r="BH106" s="194"/>
      <c r="BI106" s="194"/>
      <c r="BJ106" s="194"/>
      <c r="BK106" s="194"/>
      <c r="BL106" s="194"/>
      <c r="BM106" s="194"/>
      <c r="BN106" s="194"/>
      <c r="BO106" s="194"/>
      <c r="BP106" s="194"/>
      <c r="BQ106" s="194"/>
      <c r="BR106" s="194"/>
      <c r="BS106" s="194"/>
      <c r="BT106" s="194"/>
      <c r="BU106" s="194"/>
      <c r="BV106" s="194"/>
      <c r="BW106" s="194"/>
      <c r="BX106" s="194"/>
      <c r="BY106" s="194"/>
      <c r="BZ106" s="194"/>
      <c r="CA106" s="194"/>
      <c r="CB106" s="194"/>
      <c r="CC106" s="194"/>
      <c r="CD106" s="194"/>
      <c r="CE106" s="194"/>
      <c r="CF106" s="194"/>
      <c r="CG106" s="194"/>
      <c r="CH106" s="194"/>
      <c r="CI106" s="194"/>
      <c r="CJ106" s="194"/>
      <c r="CK106" s="194"/>
      <c r="CL106" s="194"/>
      <c r="CM106" s="194"/>
      <c r="CN106" s="194"/>
      <c r="CO106" s="194"/>
      <c r="CP106" s="48"/>
      <c r="CQ106" s="194"/>
      <c r="CR106" s="194"/>
      <c r="CS106" s="194"/>
      <c r="CT106" s="194"/>
      <c r="CU106" s="194"/>
      <c r="CV106" s="194"/>
      <c r="CW106" s="194"/>
      <c r="CX106" s="194"/>
      <c r="CY106" s="194"/>
      <c r="CZ106" s="194"/>
      <c r="DA106" s="194"/>
      <c r="DB106" s="194"/>
      <c r="DC106" s="194"/>
      <c r="DD106" s="196"/>
      <c r="DE106" s="194"/>
      <c r="DF106" s="194"/>
      <c r="DG106" s="196"/>
      <c r="DH106" s="196"/>
      <c r="DI106" s="196"/>
      <c r="DJ106" s="194"/>
      <c r="DK106" s="194"/>
      <c r="DL106" s="194"/>
      <c r="DM106" s="194"/>
      <c r="DN106" s="194"/>
      <c r="DO106" s="194"/>
      <c r="DP106" s="194"/>
      <c r="DQ106" s="196"/>
      <c r="DR106" s="194"/>
      <c r="DS106" s="196"/>
      <c r="DT106" s="194"/>
      <c r="DU106" s="194"/>
      <c r="DV106" s="194"/>
      <c r="DW106" s="194"/>
      <c r="DX106" s="194"/>
      <c r="DY106" s="194"/>
      <c r="DZ106" s="194"/>
      <c r="EA106" s="194"/>
      <c r="EB106" s="194"/>
      <c r="EC106" s="194"/>
      <c r="ED106" s="194"/>
      <c r="EE106" s="194"/>
      <c r="EF106" s="194"/>
      <c r="EG106" s="194"/>
      <c r="EH106" s="194"/>
      <c r="EI106" s="194"/>
      <c r="EJ106" s="194"/>
      <c r="EK106" s="196"/>
      <c r="EL106" s="196"/>
      <c r="EM106" s="48"/>
      <c r="EN106" s="55"/>
      <c r="EO106" s="48"/>
      <c r="EP106" s="48"/>
      <c r="EQ106" s="196"/>
      <c r="ER106" s="194"/>
      <c r="ES106" s="48"/>
      <c r="ET106" s="194"/>
      <c r="EU106" s="194"/>
      <c r="EV106" s="194"/>
      <c r="EW106" s="194"/>
      <c r="EX106" s="194"/>
      <c r="EY106" s="194"/>
      <c r="EZ106" s="194"/>
      <c r="FA106" s="194"/>
      <c r="FB106" s="194"/>
      <c r="FC106" s="194"/>
      <c r="FD106" s="48"/>
      <c r="FE106" s="194"/>
      <c r="FF106" s="194"/>
      <c r="FG106" s="194"/>
      <c r="FH106" s="194"/>
      <c r="FI106" s="194"/>
      <c r="FJ106" s="55"/>
      <c r="FK106" s="194"/>
      <c r="FL106" s="197"/>
      <c r="FM106" s="194"/>
      <c r="FN106" s="198"/>
      <c r="FO106" s="194"/>
      <c r="FP106" s="198"/>
      <c r="FQ106" s="194"/>
      <c r="FR106" s="43"/>
      <c r="FS106" s="194"/>
      <c r="FT106" s="194"/>
      <c r="FU106" s="194"/>
      <c r="FV106" s="199"/>
      <c r="FW106" s="194"/>
      <c r="FX106" s="200"/>
    </row>
    <row r="107" spans="1:180" ht="15" customHeight="1" x14ac:dyDescent="0.2">
      <c r="A107" s="132"/>
      <c r="B107" s="201"/>
      <c r="C107" s="189"/>
      <c r="D107" s="90"/>
      <c r="E107" s="202"/>
      <c r="F107" s="214"/>
      <c r="G107" s="53"/>
      <c r="H107" s="53"/>
      <c r="I107" s="53"/>
      <c r="J107" s="53"/>
      <c r="K107" s="190"/>
      <c r="L107" s="53"/>
      <c r="M107" s="53"/>
      <c r="N107" s="53"/>
      <c r="O107" s="53"/>
      <c r="P107" s="53"/>
      <c r="Q107" s="53"/>
      <c r="R107" s="53"/>
      <c r="S107" s="189"/>
      <c r="T107" s="189"/>
      <c r="U107" s="191"/>
      <c r="V107" s="191"/>
      <c r="W107" s="91"/>
      <c r="X107" s="53"/>
      <c r="Y107" s="48"/>
      <c r="Z107" s="140"/>
      <c r="AA107" s="48"/>
      <c r="AB107" s="48"/>
      <c r="AC107" s="48"/>
      <c r="AD107" s="70"/>
      <c r="AE107" s="192"/>
      <c r="AF107" s="193"/>
      <c r="AG107" s="193"/>
      <c r="AH107" s="193"/>
      <c r="AI107" s="193"/>
      <c r="AJ107" s="193"/>
      <c r="AK107" s="193"/>
      <c r="AL107" s="194"/>
      <c r="AM107" s="48"/>
      <c r="AN107" s="48"/>
      <c r="AO107" s="48"/>
      <c r="AP107" s="194"/>
      <c r="AQ107" s="194"/>
      <c r="AR107" s="194"/>
      <c r="AS107" s="194"/>
      <c r="AT107" s="194"/>
      <c r="AU107" s="194"/>
      <c r="AV107" s="194"/>
      <c r="AW107" s="194"/>
      <c r="AX107" s="194"/>
      <c r="AY107" s="194"/>
      <c r="AZ107" s="194"/>
      <c r="BA107" s="194"/>
      <c r="BB107" s="194"/>
      <c r="BC107" s="194"/>
      <c r="BD107" s="194"/>
      <c r="BE107" s="194"/>
      <c r="BF107" s="194"/>
      <c r="BG107" s="194"/>
      <c r="BH107" s="194"/>
      <c r="BI107" s="194"/>
      <c r="BJ107" s="194"/>
      <c r="BK107" s="194"/>
      <c r="BL107" s="194"/>
      <c r="BM107" s="194"/>
      <c r="BN107" s="194"/>
      <c r="BO107" s="194"/>
      <c r="BP107" s="194"/>
      <c r="BQ107" s="194"/>
      <c r="BR107" s="194"/>
      <c r="BS107" s="194"/>
      <c r="BT107" s="194"/>
      <c r="BU107" s="194"/>
      <c r="BV107" s="194"/>
      <c r="BW107" s="194"/>
      <c r="BX107" s="194"/>
      <c r="BY107" s="194"/>
      <c r="BZ107" s="194"/>
      <c r="CA107" s="194"/>
      <c r="CB107" s="194"/>
      <c r="CC107" s="194"/>
      <c r="CD107" s="194"/>
      <c r="CE107" s="194"/>
      <c r="CF107" s="194"/>
      <c r="CG107" s="194"/>
      <c r="CH107" s="194"/>
      <c r="CI107" s="194"/>
      <c r="CJ107" s="194"/>
      <c r="CK107" s="194"/>
      <c r="CL107" s="194"/>
      <c r="CM107" s="194"/>
      <c r="CN107" s="194"/>
      <c r="CO107" s="194"/>
      <c r="CP107" s="48"/>
      <c r="CQ107" s="194"/>
      <c r="CR107" s="194"/>
      <c r="CS107" s="194"/>
      <c r="CT107" s="194"/>
      <c r="CU107" s="194"/>
      <c r="CV107" s="194"/>
      <c r="CW107" s="194"/>
      <c r="CX107" s="194"/>
      <c r="CY107" s="194"/>
      <c r="CZ107" s="194"/>
      <c r="DA107" s="194"/>
      <c r="DB107" s="194"/>
      <c r="DC107" s="194"/>
      <c r="DD107" s="196"/>
      <c r="DE107" s="194"/>
      <c r="DF107" s="194"/>
      <c r="DG107" s="196"/>
      <c r="DH107" s="196"/>
      <c r="DI107" s="196"/>
      <c r="DJ107" s="194"/>
      <c r="DK107" s="194"/>
      <c r="DL107" s="194"/>
      <c r="DM107" s="194"/>
      <c r="DN107" s="194"/>
      <c r="DO107" s="194"/>
      <c r="DP107" s="194"/>
      <c r="DQ107" s="196"/>
      <c r="DR107" s="194"/>
      <c r="DS107" s="196"/>
      <c r="DT107" s="194"/>
      <c r="DU107" s="194"/>
      <c r="DV107" s="194"/>
      <c r="DW107" s="194"/>
      <c r="DX107" s="194"/>
      <c r="DY107" s="194"/>
      <c r="DZ107" s="194"/>
      <c r="EA107" s="194"/>
      <c r="EB107" s="194"/>
      <c r="EC107" s="194"/>
      <c r="ED107" s="194"/>
      <c r="EE107" s="194"/>
      <c r="EF107" s="194"/>
      <c r="EG107" s="194"/>
      <c r="EH107" s="194"/>
      <c r="EI107" s="194"/>
      <c r="EJ107" s="194"/>
      <c r="EK107" s="196"/>
      <c r="EL107" s="196"/>
      <c r="EM107" s="48"/>
      <c r="EN107" s="55"/>
      <c r="EO107" s="48"/>
      <c r="EP107" s="48"/>
      <c r="EQ107" s="196"/>
      <c r="ER107" s="194"/>
      <c r="ES107" s="48"/>
      <c r="ET107" s="194"/>
      <c r="EU107" s="194"/>
      <c r="EV107" s="194"/>
      <c r="EW107" s="194"/>
      <c r="EX107" s="194"/>
      <c r="EY107" s="194"/>
      <c r="EZ107" s="194"/>
      <c r="FA107" s="194"/>
      <c r="FB107" s="194"/>
      <c r="FC107" s="194"/>
      <c r="FD107" s="48"/>
      <c r="FE107" s="194"/>
      <c r="FF107" s="194"/>
      <c r="FG107" s="194"/>
      <c r="FH107" s="194"/>
      <c r="FI107" s="194"/>
      <c r="FJ107" s="55"/>
      <c r="FK107" s="194"/>
      <c r="FL107" s="197"/>
      <c r="FM107" s="194"/>
      <c r="FN107" s="198"/>
      <c r="FO107" s="194"/>
      <c r="FP107" s="198"/>
      <c r="FQ107" s="194"/>
      <c r="FR107" s="43"/>
      <c r="FS107" s="194"/>
      <c r="FT107" s="194"/>
      <c r="FU107" s="194"/>
      <c r="FV107" s="199"/>
      <c r="FW107" s="194"/>
      <c r="FX107" s="200"/>
    </row>
    <row r="108" spans="1:180" ht="15" customHeight="1" x14ac:dyDescent="0.2">
      <c r="A108" s="149"/>
      <c r="B108" s="201"/>
      <c r="C108" s="189"/>
      <c r="D108" s="90"/>
      <c r="E108" s="202"/>
      <c r="F108" s="213"/>
      <c r="G108" s="53"/>
      <c r="H108" s="53"/>
      <c r="I108" s="53"/>
      <c r="J108" s="53"/>
      <c r="K108" s="190"/>
      <c r="L108" s="53"/>
      <c r="M108" s="53"/>
      <c r="N108" s="53"/>
      <c r="O108" s="53"/>
      <c r="P108" s="53"/>
      <c r="Q108" s="53"/>
      <c r="R108" s="53"/>
      <c r="S108" s="189"/>
      <c r="T108" s="189"/>
      <c r="U108" s="191"/>
      <c r="V108" s="191"/>
      <c r="W108" s="91"/>
      <c r="X108" s="53"/>
      <c r="Y108" s="48"/>
      <c r="Z108" s="140"/>
      <c r="AA108" s="48"/>
      <c r="AB108" s="48"/>
      <c r="AC108" s="48"/>
      <c r="AD108" s="70"/>
      <c r="AE108" s="192"/>
      <c r="AF108" s="193"/>
      <c r="AG108" s="193"/>
      <c r="AH108" s="193"/>
      <c r="AI108" s="193"/>
      <c r="AJ108" s="193"/>
      <c r="AK108" s="193"/>
      <c r="AL108" s="194"/>
      <c r="AM108" s="48"/>
      <c r="AN108" s="48"/>
      <c r="AO108" s="48"/>
      <c r="AP108" s="194"/>
      <c r="AQ108" s="194"/>
      <c r="AR108" s="194"/>
      <c r="AS108" s="194"/>
      <c r="AT108" s="194"/>
      <c r="AU108" s="194"/>
      <c r="AV108" s="194"/>
      <c r="AW108" s="194"/>
      <c r="AX108" s="194"/>
      <c r="AY108" s="194"/>
      <c r="AZ108" s="194"/>
      <c r="BA108" s="194"/>
      <c r="BB108" s="194"/>
      <c r="BC108" s="194"/>
      <c r="BD108" s="194"/>
      <c r="BE108" s="194"/>
      <c r="BF108" s="194"/>
      <c r="BG108" s="194"/>
      <c r="BH108" s="194"/>
      <c r="BI108" s="194"/>
      <c r="BJ108" s="194"/>
      <c r="BK108" s="194"/>
      <c r="BL108" s="194"/>
      <c r="BM108" s="194"/>
      <c r="BN108" s="194"/>
      <c r="BO108" s="194"/>
      <c r="BP108" s="194"/>
      <c r="BQ108" s="194"/>
      <c r="BR108" s="194"/>
      <c r="BS108" s="194"/>
      <c r="BT108" s="194"/>
      <c r="BU108" s="194"/>
      <c r="BV108" s="194"/>
      <c r="BW108" s="194"/>
      <c r="BX108" s="194"/>
      <c r="BY108" s="194"/>
      <c r="BZ108" s="194"/>
      <c r="CA108" s="194"/>
      <c r="CB108" s="194"/>
      <c r="CC108" s="194"/>
      <c r="CD108" s="194"/>
      <c r="CE108" s="194"/>
      <c r="CF108" s="194"/>
      <c r="CG108" s="194"/>
      <c r="CH108" s="194"/>
      <c r="CI108" s="194"/>
      <c r="CJ108" s="194"/>
      <c r="CK108" s="194"/>
      <c r="CL108" s="194"/>
      <c r="CM108" s="194"/>
      <c r="CN108" s="194"/>
      <c r="CO108" s="194"/>
      <c r="CP108" s="48"/>
      <c r="CQ108" s="194"/>
      <c r="CR108" s="194"/>
      <c r="CS108" s="194"/>
      <c r="CT108" s="194"/>
      <c r="CU108" s="194"/>
      <c r="CV108" s="194"/>
      <c r="CW108" s="194"/>
      <c r="CX108" s="194"/>
      <c r="CY108" s="194"/>
      <c r="CZ108" s="194"/>
      <c r="DA108" s="194"/>
      <c r="DB108" s="194"/>
      <c r="DC108" s="194"/>
      <c r="DD108" s="196"/>
      <c r="DE108" s="194"/>
      <c r="DF108" s="194"/>
      <c r="DG108" s="196"/>
      <c r="DH108" s="196"/>
      <c r="DI108" s="196"/>
      <c r="DJ108" s="194"/>
      <c r="DK108" s="194"/>
      <c r="DL108" s="194"/>
      <c r="DM108" s="194"/>
      <c r="DN108" s="194"/>
      <c r="DO108" s="194"/>
      <c r="DP108" s="194"/>
      <c r="DQ108" s="196"/>
      <c r="DR108" s="194"/>
      <c r="DS108" s="196"/>
      <c r="DT108" s="194"/>
      <c r="DU108" s="194"/>
      <c r="DV108" s="194"/>
      <c r="DW108" s="194"/>
      <c r="DX108" s="194"/>
      <c r="DY108" s="194"/>
      <c r="DZ108" s="194"/>
      <c r="EA108" s="194"/>
      <c r="EB108" s="194"/>
      <c r="EC108" s="194"/>
      <c r="ED108" s="194"/>
      <c r="EE108" s="194"/>
      <c r="EF108" s="194"/>
      <c r="EG108" s="194"/>
      <c r="EH108" s="194"/>
      <c r="EI108" s="194"/>
      <c r="EJ108" s="194"/>
      <c r="EK108" s="196"/>
      <c r="EL108" s="196"/>
      <c r="EM108" s="48"/>
      <c r="EN108" s="55"/>
      <c r="EO108" s="48"/>
      <c r="EP108" s="48"/>
      <c r="EQ108" s="196"/>
      <c r="ER108" s="194"/>
      <c r="ES108" s="48"/>
      <c r="ET108" s="194"/>
      <c r="EU108" s="194"/>
      <c r="EV108" s="194"/>
      <c r="EW108" s="194"/>
      <c r="EX108" s="194"/>
      <c r="EY108" s="194"/>
      <c r="EZ108" s="194"/>
      <c r="FA108" s="194"/>
      <c r="FB108" s="194"/>
      <c r="FC108" s="194"/>
      <c r="FD108" s="48"/>
      <c r="FE108" s="194"/>
      <c r="FF108" s="194"/>
      <c r="FG108" s="194"/>
      <c r="FH108" s="194"/>
      <c r="FI108" s="194"/>
      <c r="FJ108" s="55"/>
      <c r="FK108" s="194"/>
      <c r="FL108" s="197"/>
      <c r="FM108" s="194"/>
      <c r="FN108" s="198"/>
      <c r="FO108" s="194"/>
      <c r="FP108" s="198"/>
      <c r="FQ108" s="194"/>
      <c r="FR108" s="43"/>
      <c r="FS108" s="194"/>
      <c r="FT108" s="194"/>
      <c r="FU108" s="194"/>
      <c r="FV108" s="199"/>
      <c r="FW108" s="194"/>
      <c r="FX108" s="200"/>
    </row>
    <row r="109" spans="1:180" ht="15" customHeight="1" x14ac:dyDescent="0.2">
      <c r="A109" s="159"/>
      <c r="B109" s="201"/>
      <c r="C109" s="189"/>
      <c r="D109" s="90"/>
      <c r="E109" s="202"/>
      <c r="F109" s="212"/>
      <c r="G109" s="53"/>
      <c r="H109" s="53"/>
      <c r="I109" s="53"/>
      <c r="J109" s="53"/>
      <c r="K109" s="190"/>
      <c r="L109" s="53"/>
      <c r="M109" s="53"/>
      <c r="N109" s="53"/>
      <c r="O109" s="53"/>
      <c r="P109" s="53"/>
      <c r="Q109" s="53"/>
      <c r="R109" s="53"/>
      <c r="S109" s="189"/>
      <c r="T109" s="189"/>
      <c r="U109" s="191"/>
      <c r="V109" s="191"/>
      <c r="W109" s="91"/>
      <c r="X109" s="53"/>
      <c r="Y109" s="48"/>
      <c r="Z109" s="140"/>
      <c r="AA109" s="48"/>
      <c r="AB109" s="48"/>
      <c r="AC109" s="48"/>
      <c r="AD109" s="70"/>
      <c r="AE109" s="192"/>
      <c r="AF109" s="193"/>
      <c r="AG109" s="193"/>
      <c r="AH109" s="193"/>
      <c r="AI109" s="193"/>
      <c r="AJ109" s="193"/>
      <c r="AK109" s="193"/>
      <c r="AL109" s="194"/>
      <c r="AM109" s="48"/>
      <c r="AN109" s="48"/>
      <c r="AO109" s="48"/>
      <c r="AP109" s="194"/>
      <c r="AQ109" s="194"/>
      <c r="AR109" s="194"/>
      <c r="AS109" s="194"/>
      <c r="AT109" s="194"/>
      <c r="AU109" s="194"/>
      <c r="AV109" s="194"/>
      <c r="AW109" s="194"/>
      <c r="AX109" s="194"/>
      <c r="AY109" s="194"/>
      <c r="AZ109" s="194"/>
      <c r="BA109" s="194"/>
      <c r="BB109" s="194"/>
      <c r="BC109" s="194"/>
      <c r="BD109" s="194"/>
      <c r="BE109" s="194"/>
      <c r="BF109" s="194"/>
      <c r="BG109" s="194"/>
      <c r="BH109" s="194"/>
      <c r="BI109" s="194"/>
      <c r="BJ109" s="194"/>
      <c r="BK109" s="194"/>
      <c r="BL109" s="194"/>
      <c r="BM109" s="194"/>
      <c r="BN109" s="194"/>
      <c r="BO109" s="194"/>
      <c r="BP109" s="194"/>
      <c r="BQ109" s="194"/>
      <c r="BR109" s="194"/>
      <c r="BS109" s="194"/>
      <c r="BT109" s="194"/>
      <c r="BU109" s="194"/>
      <c r="BV109" s="194"/>
      <c r="BW109" s="194"/>
      <c r="BX109" s="194"/>
      <c r="BY109" s="194"/>
      <c r="BZ109" s="194"/>
      <c r="CA109" s="194"/>
      <c r="CB109" s="194"/>
      <c r="CC109" s="194"/>
      <c r="CD109" s="194"/>
      <c r="CE109" s="194"/>
      <c r="CF109" s="194"/>
      <c r="CG109" s="194"/>
      <c r="CH109" s="194"/>
      <c r="CI109" s="194"/>
      <c r="CJ109" s="194"/>
      <c r="CK109" s="194"/>
      <c r="CL109" s="194"/>
      <c r="CM109" s="194"/>
      <c r="CN109" s="194"/>
      <c r="CO109" s="194"/>
      <c r="CP109" s="48"/>
      <c r="CQ109" s="194"/>
      <c r="CR109" s="194"/>
      <c r="CS109" s="194"/>
      <c r="CT109" s="194"/>
      <c r="CU109" s="194"/>
      <c r="CV109" s="194"/>
      <c r="CW109" s="194"/>
      <c r="CX109" s="194"/>
      <c r="CY109" s="194"/>
      <c r="CZ109" s="194"/>
      <c r="DA109" s="194"/>
      <c r="DB109" s="194"/>
      <c r="DC109" s="194"/>
      <c r="DD109" s="196"/>
      <c r="DE109" s="194"/>
      <c r="DF109" s="194"/>
      <c r="DG109" s="196"/>
      <c r="DH109" s="196"/>
      <c r="DI109" s="196"/>
      <c r="DJ109" s="194"/>
      <c r="DK109" s="194"/>
      <c r="DL109" s="194"/>
      <c r="DM109" s="194"/>
      <c r="DN109" s="194"/>
      <c r="DO109" s="194"/>
      <c r="DP109" s="194"/>
      <c r="DQ109" s="196"/>
      <c r="DR109" s="194"/>
      <c r="DS109" s="196"/>
      <c r="DT109" s="194"/>
      <c r="DU109" s="194"/>
      <c r="DV109" s="194"/>
      <c r="DW109" s="194"/>
      <c r="DX109" s="194"/>
      <c r="DY109" s="194"/>
      <c r="DZ109" s="194"/>
      <c r="EA109" s="194"/>
      <c r="EB109" s="194"/>
      <c r="EC109" s="194"/>
      <c r="ED109" s="194"/>
      <c r="EE109" s="194"/>
      <c r="EF109" s="194"/>
      <c r="EG109" s="194"/>
      <c r="EH109" s="194"/>
      <c r="EI109" s="194"/>
      <c r="EJ109" s="194"/>
      <c r="EK109" s="196"/>
      <c r="EL109" s="196"/>
      <c r="EM109" s="48"/>
      <c r="EN109" s="55"/>
      <c r="EO109" s="48"/>
      <c r="EP109" s="48"/>
      <c r="EQ109" s="196"/>
      <c r="ER109" s="194"/>
      <c r="ES109" s="48"/>
      <c r="ET109" s="194"/>
      <c r="EU109" s="194"/>
      <c r="EV109" s="194"/>
      <c r="EW109" s="194"/>
      <c r="EX109" s="194"/>
      <c r="EY109" s="194"/>
      <c r="EZ109" s="194"/>
      <c r="FA109" s="194"/>
      <c r="FB109" s="194"/>
      <c r="FC109" s="194"/>
      <c r="FD109" s="48"/>
      <c r="FE109" s="194"/>
      <c r="FF109" s="194"/>
      <c r="FG109" s="194"/>
      <c r="FH109" s="194"/>
      <c r="FI109" s="194"/>
      <c r="FJ109" s="55"/>
      <c r="FK109" s="194"/>
      <c r="FL109" s="197"/>
      <c r="FM109" s="194"/>
      <c r="FN109" s="198"/>
      <c r="FO109" s="194"/>
      <c r="FP109" s="198"/>
      <c r="FQ109" s="194"/>
      <c r="FR109" s="43"/>
      <c r="FS109" s="194"/>
      <c r="FT109" s="194"/>
      <c r="FU109" s="194"/>
      <c r="FV109" s="199"/>
      <c r="FW109" s="194"/>
      <c r="FX109" s="200"/>
    </row>
    <row r="110" spans="1:180" ht="15" customHeight="1" x14ac:dyDescent="0.2">
      <c r="A110" s="215"/>
      <c r="B110" s="201"/>
      <c r="C110" s="189"/>
      <c r="D110" s="90"/>
      <c r="E110" s="202"/>
      <c r="F110" s="213"/>
      <c r="G110" s="53"/>
      <c r="H110" s="53"/>
      <c r="I110" s="53"/>
      <c r="J110" s="53"/>
      <c r="K110" s="190"/>
      <c r="L110" s="53"/>
      <c r="M110" s="53"/>
      <c r="N110" s="53"/>
      <c r="O110" s="53"/>
      <c r="P110" s="53"/>
      <c r="Q110" s="53"/>
      <c r="R110" s="53"/>
      <c r="S110" s="189"/>
      <c r="T110" s="189"/>
      <c r="U110" s="191"/>
      <c r="V110" s="191"/>
      <c r="W110" s="91"/>
      <c r="X110" s="53"/>
      <c r="Y110" s="48"/>
      <c r="Z110" s="140"/>
      <c r="AA110" s="48"/>
      <c r="AB110" s="48"/>
      <c r="AC110" s="48"/>
      <c r="AD110" s="70"/>
      <c r="AE110" s="192"/>
      <c r="AF110" s="193"/>
      <c r="AG110" s="193"/>
      <c r="AH110" s="193"/>
      <c r="AI110" s="193"/>
      <c r="AJ110" s="193"/>
      <c r="AK110" s="193"/>
      <c r="AL110" s="194"/>
      <c r="AM110" s="48"/>
      <c r="AN110" s="48"/>
      <c r="AO110" s="48"/>
      <c r="AP110" s="194"/>
      <c r="AQ110" s="194"/>
      <c r="AR110" s="194"/>
      <c r="AS110" s="194"/>
      <c r="AT110" s="194"/>
      <c r="AU110" s="194"/>
      <c r="AV110" s="194"/>
      <c r="AW110" s="194"/>
      <c r="AX110" s="194"/>
      <c r="AY110" s="194"/>
      <c r="AZ110" s="194"/>
      <c r="BA110" s="194"/>
      <c r="BB110" s="194"/>
      <c r="BC110" s="194"/>
      <c r="BD110" s="194"/>
      <c r="BE110" s="194"/>
      <c r="BF110" s="194"/>
      <c r="BG110" s="194"/>
      <c r="BH110" s="194"/>
      <c r="BI110" s="194"/>
      <c r="BJ110" s="194"/>
      <c r="BK110" s="194"/>
      <c r="BL110" s="194"/>
      <c r="BM110" s="194"/>
      <c r="BN110" s="194"/>
      <c r="BO110" s="194"/>
      <c r="BP110" s="194"/>
      <c r="BQ110" s="194"/>
      <c r="BR110" s="194"/>
      <c r="BS110" s="194"/>
      <c r="BT110" s="194"/>
      <c r="BU110" s="194"/>
      <c r="BV110" s="194"/>
      <c r="BW110" s="194"/>
      <c r="BX110" s="194"/>
      <c r="BY110" s="194"/>
      <c r="BZ110" s="194"/>
      <c r="CA110" s="194"/>
      <c r="CB110" s="194"/>
      <c r="CC110" s="194"/>
      <c r="CD110" s="194"/>
      <c r="CE110" s="194"/>
      <c r="CF110" s="194"/>
      <c r="CG110" s="194"/>
      <c r="CH110" s="194"/>
      <c r="CI110" s="194"/>
      <c r="CJ110" s="194"/>
      <c r="CK110" s="194"/>
      <c r="CL110" s="194"/>
      <c r="CM110" s="194"/>
      <c r="CN110" s="194"/>
      <c r="CO110" s="194"/>
      <c r="CP110" s="48"/>
      <c r="CQ110" s="194"/>
      <c r="CR110" s="194"/>
      <c r="CS110" s="194"/>
      <c r="CT110" s="194"/>
      <c r="CU110" s="194"/>
      <c r="CV110" s="194"/>
      <c r="CW110" s="194"/>
      <c r="CX110" s="194"/>
      <c r="CY110" s="194"/>
      <c r="CZ110" s="194"/>
      <c r="DA110" s="194"/>
      <c r="DB110" s="194"/>
      <c r="DC110" s="194"/>
      <c r="DD110" s="195"/>
      <c r="DE110" s="194"/>
      <c r="DF110" s="194"/>
      <c r="DG110" s="195"/>
      <c r="DH110" s="195"/>
      <c r="DI110" s="195"/>
      <c r="DJ110" s="194"/>
      <c r="DK110" s="194"/>
      <c r="DL110" s="194"/>
      <c r="DM110" s="194"/>
      <c r="DN110" s="194"/>
      <c r="DO110" s="194"/>
      <c r="DP110" s="194"/>
      <c r="DQ110" s="195"/>
      <c r="DR110" s="194"/>
      <c r="DS110" s="195"/>
      <c r="DT110" s="194"/>
      <c r="DU110" s="194"/>
      <c r="DV110" s="194"/>
      <c r="DW110" s="194"/>
      <c r="DX110" s="194"/>
      <c r="DY110" s="194"/>
      <c r="DZ110" s="194"/>
      <c r="EA110" s="194"/>
      <c r="EB110" s="194"/>
      <c r="EC110" s="194"/>
      <c r="ED110" s="194"/>
      <c r="EE110" s="194"/>
      <c r="EF110" s="194"/>
      <c r="EG110" s="194"/>
      <c r="EH110" s="194"/>
      <c r="EI110" s="194"/>
      <c r="EJ110" s="194"/>
      <c r="EK110" s="195"/>
      <c r="EL110" s="195"/>
      <c r="EM110" s="48"/>
      <c r="EN110" s="55"/>
      <c r="EO110" s="48"/>
      <c r="EP110" s="48"/>
      <c r="EQ110" s="195"/>
      <c r="ER110" s="194"/>
      <c r="ES110" s="48"/>
      <c r="ET110" s="194"/>
      <c r="EU110" s="194"/>
      <c r="EV110" s="194"/>
      <c r="EW110" s="194"/>
      <c r="EX110" s="194"/>
      <c r="EY110" s="194"/>
      <c r="EZ110" s="194"/>
      <c r="FA110" s="194"/>
      <c r="FB110" s="194"/>
      <c r="FC110" s="194"/>
      <c r="FD110" s="48"/>
      <c r="FE110" s="194"/>
      <c r="FF110" s="194"/>
      <c r="FG110" s="194"/>
      <c r="FH110" s="194"/>
      <c r="FI110" s="194"/>
      <c r="FJ110" s="55"/>
      <c r="FK110" s="194"/>
      <c r="FL110" s="197"/>
      <c r="FM110" s="194"/>
      <c r="FN110" s="198"/>
      <c r="FO110" s="194"/>
      <c r="FP110" s="198"/>
      <c r="FQ110" s="194"/>
      <c r="FR110" s="43"/>
      <c r="FS110" s="194"/>
      <c r="FT110" s="194"/>
      <c r="FU110" s="194"/>
      <c r="FV110" s="199"/>
      <c r="FW110" s="194"/>
      <c r="FX110" s="200"/>
    </row>
    <row r="111" spans="1:180" ht="15" customHeight="1" x14ac:dyDescent="0.2">
      <c r="A111" s="215"/>
      <c r="B111" s="201"/>
      <c r="C111" s="189"/>
      <c r="D111" s="90"/>
      <c r="E111" s="202"/>
      <c r="F111" s="212"/>
      <c r="G111" s="53"/>
      <c r="H111" s="53"/>
      <c r="I111" s="53"/>
      <c r="J111" s="53"/>
      <c r="K111" s="190"/>
      <c r="L111" s="53"/>
      <c r="M111" s="53"/>
      <c r="N111" s="53"/>
      <c r="O111" s="53"/>
      <c r="P111" s="53"/>
      <c r="Q111" s="53"/>
      <c r="R111" s="53"/>
      <c r="S111" s="189"/>
      <c r="T111" s="189"/>
      <c r="U111" s="191"/>
      <c r="V111" s="191"/>
      <c r="W111" s="91"/>
      <c r="X111" s="53"/>
      <c r="Y111" s="48"/>
      <c r="Z111" s="140"/>
      <c r="AA111" s="48"/>
      <c r="AB111" s="48"/>
      <c r="AC111" s="48"/>
      <c r="AD111" s="70"/>
      <c r="AE111" s="192"/>
      <c r="AF111" s="193"/>
      <c r="AG111" s="193"/>
      <c r="AH111" s="193"/>
      <c r="AI111" s="193"/>
      <c r="AJ111" s="193"/>
      <c r="AK111" s="193"/>
      <c r="AL111" s="194"/>
      <c r="AM111" s="48"/>
      <c r="AN111" s="48"/>
      <c r="AO111" s="48"/>
      <c r="AP111" s="194"/>
      <c r="AQ111" s="194"/>
      <c r="AR111" s="194"/>
      <c r="AS111" s="194"/>
      <c r="AT111" s="194"/>
      <c r="AU111" s="194"/>
      <c r="AV111" s="194"/>
      <c r="AW111" s="194"/>
      <c r="AX111" s="194"/>
      <c r="AY111" s="194"/>
      <c r="AZ111" s="194"/>
      <c r="BA111" s="194"/>
      <c r="BB111" s="194"/>
      <c r="BC111" s="194"/>
      <c r="BD111" s="194"/>
      <c r="BE111" s="194"/>
      <c r="BF111" s="194"/>
      <c r="BG111" s="194"/>
      <c r="BH111" s="194"/>
      <c r="BI111" s="194"/>
      <c r="BJ111" s="194"/>
      <c r="BK111" s="194"/>
      <c r="BL111" s="194"/>
      <c r="BM111" s="194"/>
      <c r="BN111" s="194"/>
      <c r="BO111" s="194"/>
      <c r="BP111" s="194"/>
      <c r="BQ111" s="194"/>
      <c r="BR111" s="194"/>
      <c r="BS111" s="194"/>
      <c r="BT111" s="194"/>
      <c r="BU111" s="194"/>
      <c r="BV111" s="194"/>
      <c r="BW111" s="194"/>
      <c r="BX111" s="194"/>
      <c r="BY111" s="194"/>
      <c r="BZ111" s="194"/>
      <c r="CA111" s="194"/>
      <c r="CB111" s="194"/>
      <c r="CC111" s="194"/>
      <c r="CD111" s="194"/>
      <c r="CE111" s="194"/>
      <c r="CF111" s="194"/>
      <c r="CG111" s="194"/>
      <c r="CH111" s="194"/>
      <c r="CI111" s="194"/>
      <c r="CJ111" s="194"/>
      <c r="CK111" s="194"/>
      <c r="CL111" s="194"/>
      <c r="CM111" s="194"/>
      <c r="CN111" s="194"/>
      <c r="CO111" s="194"/>
      <c r="CP111" s="48"/>
      <c r="CQ111" s="194"/>
      <c r="CR111" s="194"/>
      <c r="CS111" s="194"/>
      <c r="CT111" s="194"/>
      <c r="CU111" s="194"/>
      <c r="CV111" s="194"/>
      <c r="CW111" s="194"/>
      <c r="CX111" s="194"/>
      <c r="CY111" s="194"/>
      <c r="CZ111" s="194"/>
      <c r="DA111" s="194"/>
      <c r="DB111" s="194"/>
      <c r="DC111" s="194"/>
      <c r="DD111" s="196"/>
      <c r="DE111" s="194"/>
      <c r="DF111" s="194"/>
      <c r="DG111" s="196"/>
      <c r="DH111" s="196"/>
      <c r="DI111" s="196"/>
      <c r="DJ111" s="194"/>
      <c r="DK111" s="194"/>
      <c r="DL111" s="194"/>
      <c r="DM111" s="194"/>
      <c r="DN111" s="194"/>
      <c r="DO111" s="194"/>
      <c r="DP111" s="194"/>
      <c r="DQ111" s="196"/>
      <c r="DR111" s="194"/>
      <c r="DS111" s="196"/>
      <c r="DT111" s="194"/>
      <c r="DU111" s="194"/>
      <c r="DV111" s="194"/>
      <c r="DW111" s="194"/>
      <c r="DX111" s="194"/>
      <c r="DY111" s="194"/>
      <c r="DZ111" s="194"/>
      <c r="EA111" s="194"/>
      <c r="EB111" s="194"/>
      <c r="EC111" s="194"/>
      <c r="ED111" s="194"/>
      <c r="EE111" s="194"/>
      <c r="EF111" s="194"/>
      <c r="EG111" s="194"/>
      <c r="EH111" s="194"/>
      <c r="EI111" s="194"/>
      <c r="EJ111" s="194"/>
      <c r="EK111" s="196"/>
      <c r="EL111" s="196"/>
      <c r="EM111" s="48"/>
      <c r="EN111" s="55"/>
      <c r="EO111" s="48"/>
      <c r="EP111" s="48"/>
      <c r="EQ111" s="196"/>
      <c r="ER111" s="194"/>
      <c r="ES111" s="48"/>
      <c r="ET111" s="194"/>
      <c r="EU111" s="194"/>
      <c r="EV111" s="194"/>
      <c r="EW111" s="194"/>
      <c r="EX111" s="194"/>
      <c r="EY111" s="194"/>
      <c r="EZ111" s="194"/>
      <c r="FA111" s="194"/>
      <c r="FB111" s="194"/>
      <c r="FC111" s="194"/>
      <c r="FD111" s="48"/>
      <c r="FE111" s="194"/>
      <c r="FF111" s="194"/>
      <c r="FG111" s="194"/>
      <c r="FH111" s="194"/>
      <c r="FI111" s="194"/>
      <c r="FJ111" s="55"/>
      <c r="FK111" s="194"/>
      <c r="FL111" s="197"/>
      <c r="FM111" s="194"/>
      <c r="FN111" s="198"/>
      <c r="FO111" s="194"/>
      <c r="FP111" s="198"/>
      <c r="FQ111" s="194"/>
      <c r="FR111" s="43"/>
      <c r="FS111" s="194"/>
      <c r="FT111" s="194"/>
      <c r="FU111" s="194"/>
      <c r="FV111" s="199"/>
      <c r="FW111" s="194"/>
      <c r="FX111" s="200"/>
    </row>
    <row r="112" spans="1:180" ht="15" customHeight="1" x14ac:dyDescent="0.2">
      <c r="A112" s="215"/>
      <c r="B112" s="201"/>
      <c r="C112" s="189"/>
      <c r="D112" s="90"/>
      <c r="E112" s="202"/>
      <c r="F112" s="213"/>
      <c r="G112" s="53"/>
      <c r="H112" s="53"/>
      <c r="I112" s="53"/>
      <c r="J112" s="53"/>
      <c r="K112" s="190"/>
      <c r="L112" s="53"/>
      <c r="M112" s="53"/>
      <c r="N112" s="53"/>
      <c r="O112" s="53"/>
      <c r="P112" s="53"/>
      <c r="Q112" s="53"/>
      <c r="R112" s="53"/>
      <c r="S112" s="189"/>
      <c r="T112" s="189"/>
      <c r="U112" s="191"/>
      <c r="V112" s="191"/>
      <c r="W112" s="91"/>
      <c r="X112" s="53"/>
      <c r="Y112" s="48"/>
      <c r="Z112" s="140"/>
      <c r="AA112" s="48"/>
      <c r="AB112" s="48"/>
      <c r="AC112" s="48"/>
      <c r="AD112" s="70"/>
      <c r="AE112" s="192"/>
      <c r="AF112" s="193"/>
      <c r="AG112" s="193"/>
      <c r="AH112" s="193"/>
      <c r="AI112" s="193"/>
      <c r="AJ112" s="193"/>
      <c r="AK112" s="193"/>
      <c r="AL112" s="194"/>
      <c r="AM112" s="48"/>
      <c r="AN112" s="48"/>
      <c r="AO112" s="48"/>
      <c r="AP112" s="194"/>
      <c r="AQ112" s="194"/>
      <c r="AR112" s="194"/>
      <c r="AS112" s="194"/>
      <c r="AT112" s="194"/>
      <c r="AU112" s="194"/>
      <c r="AV112" s="194"/>
      <c r="AW112" s="194"/>
      <c r="AX112" s="194"/>
      <c r="AY112" s="194"/>
      <c r="AZ112" s="194"/>
      <c r="BA112" s="194"/>
      <c r="BB112" s="194"/>
      <c r="BC112" s="194"/>
      <c r="BD112" s="194"/>
      <c r="BE112" s="194"/>
      <c r="BF112" s="194"/>
      <c r="BG112" s="194"/>
      <c r="BH112" s="194"/>
      <c r="BI112" s="194"/>
      <c r="BJ112" s="194"/>
      <c r="BK112" s="194"/>
      <c r="BL112" s="194"/>
      <c r="BM112" s="194"/>
      <c r="BN112" s="194"/>
      <c r="BO112" s="194"/>
      <c r="BP112" s="194"/>
      <c r="BQ112" s="194"/>
      <c r="BR112" s="194"/>
      <c r="BS112" s="194"/>
      <c r="BT112" s="194"/>
      <c r="BU112" s="194"/>
      <c r="BV112" s="194"/>
      <c r="BW112" s="194"/>
      <c r="BX112" s="194"/>
      <c r="BY112" s="194"/>
      <c r="BZ112" s="194"/>
      <c r="CA112" s="194"/>
      <c r="CB112" s="194"/>
      <c r="CC112" s="194"/>
      <c r="CD112" s="194"/>
      <c r="CE112" s="194"/>
      <c r="CF112" s="194"/>
      <c r="CG112" s="194"/>
      <c r="CH112" s="194"/>
      <c r="CI112" s="194"/>
      <c r="CJ112" s="194"/>
      <c r="CK112" s="194"/>
      <c r="CL112" s="194"/>
      <c r="CM112" s="194"/>
      <c r="CN112" s="194"/>
      <c r="CO112" s="194"/>
      <c r="CP112" s="48"/>
      <c r="CQ112" s="194"/>
      <c r="CR112" s="194"/>
      <c r="CS112" s="194"/>
      <c r="CT112" s="194"/>
      <c r="CU112" s="194"/>
      <c r="CV112" s="194"/>
      <c r="CW112" s="194"/>
      <c r="CX112" s="194"/>
      <c r="CY112" s="194"/>
      <c r="CZ112" s="194"/>
      <c r="DA112" s="194"/>
      <c r="DB112" s="194"/>
      <c r="DC112" s="194"/>
      <c r="DD112" s="196"/>
      <c r="DE112" s="194"/>
      <c r="DF112" s="194"/>
      <c r="DG112" s="196"/>
      <c r="DH112" s="196"/>
      <c r="DI112" s="196"/>
      <c r="DJ112" s="194"/>
      <c r="DK112" s="194"/>
      <c r="DL112" s="194"/>
      <c r="DM112" s="194"/>
      <c r="DN112" s="194"/>
      <c r="DO112" s="194"/>
      <c r="DP112" s="194"/>
      <c r="DQ112" s="196"/>
      <c r="DR112" s="194"/>
      <c r="DS112" s="196"/>
      <c r="DT112" s="194"/>
      <c r="DU112" s="194"/>
      <c r="DV112" s="194"/>
      <c r="DW112" s="194"/>
      <c r="DX112" s="194"/>
      <c r="DY112" s="194"/>
      <c r="DZ112" s="194"/>
      <c r="EA112" s="194"/>
      <c r="EB112" s="194"/>
      <c r="EC112" s="194"/>
      <c r="ED112" s="194"/>
      <c r="EE112" s="194"/>
      <c r="EF112" s="194"/>
      <c r="EG112" s="194"/>
      <c r="EH112" s="194"/>
      <c r="EI112" s="194"/>
      <c r="EJ112" s="194"/>
      <c r="EK112" s="196"/>
      <c r="EL112" s="196"/>
      <c r="EM112" s="48"/>
      <c r="EN112" s="55"/>
      <c r="EO112" s="48"/>
      <c r="EP112" s="48"/>
      <c r="EQ112" s="196"/>
      <c r="ER112" s="194"/>
      <c r="ES112" s="48"/>
      <c r="ET112" s="194"/>
      <c r="EU112" s="194"/>
      <c r="EV112" s="194"/>
      <c r="EW112" s="194"/>
      <c r="EX112" s="194"/>
      <c r="EY112" s="194"/>
      <c r="EZ112" s="194"/>
      <c r="FA112" s="194"/>
      <c r="FB112" s="194"/>
      <c r="FC112" s="194"/>
      <c r="FD112" s="48"/>
      <c r="FE112" s="194"/>
      <c r="FF112" s="194"/>
      <c r="FG112" s="194"/>
      <c r="FH112" s="194"/>
      <c r="FI112" s="194"/>
      <c r="FJ112" s="55"/>
      <c r="FK112" s="194"/>
      <c r="FL112" s="197"/>
      <c r="FM112" s="194"/>
      <c r="FN112" s="198"/>
      <c r="FO112" s="194"/>
      <c r="FP112" s="198"/>
      <c r="FQ112" s="194"/>
      <c r="FR112" s="43"/>
      <c r="FS112" s="194"/>
      <c r="FT112" s="194"/>
      <c r="FU112" s="194"/>
      <c r="FV112" s="199"/>
      <c r="FW112" s="194"/>
      <c r="FX112" s="200"/>
    </row>
    <row r="113" spans="1:180" ht="15" customHeight="1" x14ac:dyDescent="0.2">
      <c r="A113" s="215"/>
      <c r="B113" s="201"/>
      <c r="C113" s="189"/>
      <c r="D113" s="90"/>
      <c r="E113" s="202"/>
      <c r="F113" s="212"/>
      <c r="G113" s="53"/>
      <c r="H113" s="53"/>
      <c r="I113" s="53"/>
      <c r="J113" s="53"/>
      <c r="K113" s="190"/>
      <c r="L113" s="53"/>
      <c r="M113" s="53"/>
      <c r="N113" s="53"/>
      <c r="O113" s="53"/>
      <c r="P113" s="53"/>
      <c r="Q113" s="53"/>
      <c r="R113" s="53"/>
      <c r="S113" s="189"/>
      <c r="T113" s="189"/>
      <c r="U113" s="191"/>
      <c r="V113" s="191"/>
      <c r="W113" s="91"/>
      <c r="X113" s="53"/>
      <c r="Y113" s="48"/>
      <c r="Z113" s="140"/>
      <c r="AA113" s="48"/>
      <c r="AB113" s="48"/>
      <c r="AC113" s="48"/>
      <c r="AD113" s="70"/>
      <c r="AE113" s="192"/>
      <c r="AF113" s="193"/>
      <c r="AG113" s="193"/>
      <c r="AH113" s="193"/>
      <c r="AI113" s="193"/>
      <c r="AJ113" s="193"/>
      <c r="AK113" s="193"/>
      <c r="AL113" s="194"/>
      <c r="AM113" s="48"/>
      <c r="AN113" s="48"/>
      <c r="AO113" s="48"/>
      <c r="AP113" s="194"/>
      <c r="AQ113" s="194"/>
      <c r="AR113" s="194"/>
      <c r="AS113" s="194"/>
      <c r="AT113" s="194"/>
      <c r="AU113" s="194"/>
      <c r="AV113" s="194"/>
      <c r="AW113" s="194"/>
      <c r="AX113" s="194"/>
      <c r="AY113" s="194"/>
      <c r="AZ113" s="194"/>
      <c r="BA113" s="194"/>
      <c r="BB113" s="194"/>
      <c r="BC113" s="194"/>
      <c r="BD113" s="194"/>
      <c r="BE113" s="194"/>
      <c r="BF113" s="194"/>
      <c r="BG113" s="194"/>
      <c r="BH113" s="194"/>
      <c r="BI113" s="194"/>
      <c r="BJ113" s="194"/>
      <c r="BK113" s="194"/>
      <c r="BL113" s="194"/>
      <c r="BM113" s="194"/>
      <c r="BN113" s="194"/>
      <c r="BO113" s="194"/>
      <c r="BP113" s="194"/>
      <c r="BQ113" s="194"/>
      <c r="BR113" s="194"/>
      <c r="BS113" s="194"/>
      <c r="BT113" s="194"/>
      <c r="BU113" s="194"/>
      <c r="BV113" s="194"/>
      <c r="BW113" s="194"/>
      <c r="BX113" s="194"/>
      <c r="BY113" s="194"/>
      <c r="BZ113" s="194"/>
      <c r="CA113" s="194"/>
      <c r="CB113" s="194"/>
      <c r="CC113" s="194"/>
      <c r="CD113" s="194"/>
      <c r="CE113" s="194"/>
      <c r="CF113" s="194"/>
      <c r="CG113" s="194"/>
      <c r="CH113" s="194"/>
      <c r="CI113" s="194"/>
      <c r="CJ113" s="194"/>
      <c r="CK113" s="194"/>
      <c r="CL113" s="194"/>
      <c r="CM113" s="194"/>
      <c r="CN113" s="194"/>
      <c r="CO113" s="194"/>
      <c r="CP113" s="48"/>
      <c r="CQ113" s="194"/>
      <c r="CR113" s="194"/>
      <c r="CS113" s="194"/>
      <c r="CT113" s="194"/>
      <c r="CU113" s="194"/>
      <c r="CV113" s="194"/>
      <c r="CW113" s="194"/>
      <c r="CX113" s="194"/>
      <c r="CY113" s="194"/>
      <c r="CZ113" s="194"/>
      <c r="DA113" s="194"/>
      <c r="DB113" s="194"/>
      <c r="DC113" s="194"/>
      <c r="DD113" s="196"/>
      <c r="DE113" s="194"/>
      <c r="DF113" s="194"/>
      <c r="DG113" s="196"/>
      <c r="DH113" s="196"/>
      <c r="DI113" s="196"/>
      <c r="DJ113" s="194"/>
      <c r="DK113" s="194"/>
      <c r="DL113" s="194"/>
      <c r="DM113" s="194"/>
      <c r="DN113" s="194"/>
      <c r="DO113" s="194"/>
      <c r="DP113" s="194"/>
      <c r="DQ113" s="196"/>
      <c r="DR113" s="194"/>
      <c r="DS113" s="196"/>
      <c r="DT113" s="194"/>
      <c r="DU113" s="194"/>
      <c r="DV113" s="194"/>
      <c r="DW113" s="194"/>
      <c r="DX113" s="194"/>
      <c r="DY113" s="194"/>
      <c r="DZ113" s="194"/>
      <c r="EA113" s="194"/>
      <c r="EB113" s="194"/>
      <c r="EC113" s="194"/>
      <c r="ED113" s="194"/>
      <c r="EE113" s="194"/>
      <c r="EF113" s="194"/>
      <c r="EG113" s="194"/>
      <c r="EH113" s="194"/>
      <c r="EI113" s="194"/>
      <c r="EJ113" s="194"/>
      <c r="EK113" s="196"/>
      <c r="EL113" s="196"/>
      <c r="EM113" s="48"/>
      <c r="EN113" s="55"/>
      <c r="EO113" s="48"/>
      <c r="EP113" s="48"/>
      <c r="EQ113" s="196"/>
      <c r="ER113" s="194"/>
      <c r="ES113" s="48"/>
      <c r="ET113" s="194"/>
      <c r="EU113" s="194"/>
      <c r="EV113" s="194"/>
      <c r="EW113" s="194"/>
      <c r="EX113" s="194"/>
      <c r="EY113" s="194"/>
      <c r="EZ113" s="194"/>
      <c r="FA113" s="194"/>
      <c r="FB113" s="194"/>
      <c r="FC113" s="194"/>
      <c r="FD113" s="48"/>
      <c r="FE113" s="194"/>
      <c r="FF113" s="194"/>
      <c r="FG113" s="194"/>
      <c r="FH113" s="194"/>
      <c r="FI113" s="194"/>
      <c r="FJ113" s="55"/>
      <c r="FK113" s="194"/>
      <c r="FL113" s="197"/>
      <c r="FM113" s="194"/>
      <c r="FN113" s="198"/>
      <c r="FO113" s="194"/>
      <c r="FP113" s="198"/>
      <c r="FQ113" s="194"/>
      <c r="FR113" s="43"/>
      <c r="FS113" s="194"/>
      <c r="FT113" s="194"/>
      <c r="FU113" s="194"/>
      <c r="FV113" s="199"/>
      <c r="FW113" s="194"/>
      <c r="FX113" s="200"/>
    </row>
  </sheetData>
  <phoneticPr fontId="25" alignment="center"/>
  <dataValidations count="3">
    <dataValidation type="list" allowBlank="1" showInputMessage="1" showErrorMessage="1" sqref="AB1 AE29:AE1048576" xr:uid="{D7E2F08A-D2A8-4E6B-BB27-3CC188DB20A6}">
      <formula1>"Black/African American, Other, Hispanic/Latinx, Caucasian/White, American Indian or Alaskan Native, Asian/Asian American"</formula1>
    </dataValidation>
    <dataValidation type="textLength" operator="equal" allowBlank="1" showInputMessage="1" showErrorMessage="1" sqref="W102:W1048576 W1" xr:uid="{72482D01-E431-40E5-95F9-AB789CCEF09C}">
      <formula1>5</formula1>
    </dataValidation>
    <dataValidation allowBlank="1" showInputMessage="1" showErrorMessage="1" sqref="DR13:DR14 DT13:DU14 DV14 DQ3:DV12 DW7 DW3:EA3 EG9:EG10 EG3:EH7 F2 K26:K27 ER2:ER12 ER14 EU2 F3:G27 X15:X27 X3:X8 Z3:Z14 AD3:AD27 EV2:EV14 EU7:EU14 ES2:ET14 X11:X14 EQ2:EQ14 EI3:EO14 EH9:EH14 EG12:EG14 DX4:EA14 AE3:DP14 EB3:EF14 F30:F55 E79:E82 E84:E87 E89:E92 E94:E97 E74:E77 FY4 FF2 FF6:FF14 K5:K11 AD28 Z15:Z27 Z2 A3:A27 Z61:Z81 DU15:DW27 AE15:DS27 K16:K24 A84:A108 A30:A54 A57:A81 E99:E102 Z83:Z113 E3:E6 E8:E12 E14:E17 E19:E22 E24:E27 E29:E32 E34:E37 E39:E42 E44:E47 E49:E52 E54:E57 E59:E62 E64:E67 E69:E72" xr:uid="{6128BDA6-7C51-4445-B744-5F7559493042}"/>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2CA3-979C-43F8-AD9A-419206EB1DAA}">
  <dimension ref="A1:M415"/>
  <sheetViews>
    <sheetView topLeftCell="B1" workbookViewId="0">
      <selection activeCell="K5" sqref="K5:M5"/>
    </sheetView>
  </sheetViews>
  <sheetFormatPr baseColWidth="10" defaultColWidth="8.83203125" defaultRowHeight="16" x14ac:dyDescent="0.2"/>
  <cols>
    <col min="3" max="3" width="20.5" customWidth="1"/>
    <col min="8" max="8" width="17" customWidth="1"/>
    <col min="11" max="11" width="9" bestFit="1" customWidth="1"/>
  </cols>
  <sheetData>
    <row r="1" spans="1:13" x14ac:dyDescent="0.2">
      <c r="A1" s="76" t="s">
        <v>1179</v>
      </c>
      <c r="D1" s="76" t="s">
        <v>1180</v>
      </c>
      <c r="E1" s="76" t="s">
        <v>1181</v>
      </c>
      <c r="H1" s="58" t="s">
        <v>164</v>
      </c>
    </row>
    <row r="2" spans="1:13" x14ac:dyDescent="0.2">
      <c r="A2">
        <v>12</v>
      </c>
      <c r="C2" s="76" t="s">
        <v>1182</v>
      </c>
      <c r="D2">
        <f>INT(AVERAGE($A$2:$A$415))</f>
        <v>40</v>
      </c>
      <c r="E2" s="77">
        <f>D2/$D$5</f>
        <v>0.17167381974248927</v>
      </c>
      <c r="H2" s="12" t="s">
        <v>1183</v>
      </c>
    </row>
    <row r="3" spans="1:13" x14ac:dyDescent="0.2">
      <c r="A3">
        <v>89</v>
      </c>
      <c r="C3" s="76" t="s">
        <v>1184</v>
      </c>
      <c r="D3">
        <f>COUNTIFS($A$2:$A$415,"&lt;18")</f>
        <v>102</v>
      </c>
      <c r="E3" s="77">
        <f t="shared" ref="E3:E4" si="0">D3/$D$5</f>
        <v>0.43776824034334766</v>
      </c>
      <c r="H3" s="13" t="s">
        <v>410</v>
      </c>
      <c r="K3" t="s">
        <v>410</v>
      </c>
      <c r="L3">
        <v>150</v>
      </c>
      <c r="M3" s="77">
        <f>L3/L5</f>
        <v>0.47318611987381703</v>
      </c>
    </row>
    <row r="4" spans="1:13" x14ac:dyDescent="0.2">
      <c r="C4" s="78" t="s">
        <v>1185</v>
      </c>
      <c r="D4" s="44">
        <f>COUNTIFS($A$2:$A$415,"&gt;=65")</f>
        <v>50</v>
      </c>
      <c r="E4" s="79">
        <f t="shared" si="0"/>
        <v>0.21459227467811159</v>
      </c>
      <c r="H4" s="13" t="s">
        <v>291</v>
      </c>
      <c r="K4" t="s">
        <v>1183</v>
      </c>
      <c r="L4">
        <v>125</v>
      </c>
      <c r="M4" s="77">
        <f>L4/L5</f>
        <v>0.39432176656151419</v>
      </c>
    </row>
    <row r="5" spans="1:13" x14ac:dyDescent="0.2">
      <c r="C5" s="51" t="s">
        <v>1186</v>
      </c>
      <c r="D5" s="51">
        <f>COUNTA($A$2:$A$415)</f>
        <v>233</v>
      </c>
      <c r="E5" s="51"/>
      <c r="H5" s="13" t="s">
        <v>410</v>
      </c>
      <c r="K5" t="s">
        <v>1187</v>
      </c>
      <c r="L5">
        <v>317</v>
      </c>
    </row>
    <row r="6" spans="1:13" x14ac:dyDescent="0.2">
      <c r="A6">
        <v>34</v>
      </c>
      <c r="C6" t="s">
        <v>1188</v>
      </c>
      <c r="H6" s="13" t="s">
        <v>629</v>
      </c>
    </row>
    <row r="7" spans="1:13" x14ac:dyDescent="0.2">
      <c r="A7">
        <v>20</v>
      </c>
      <c r="H7" s="12" t="s">
        <v>410</v>
      </c>
    </row>
    <row r="8" spans="1:13" x14ac:dyDescent="0.2">
      <c r="A8">
        <v>43</v>
      </c>
      <c r="H8" s="12" t="s">
        <v>629</v>
      </c>
    </row>
    <row r="9" spans="1:13" x14ac:dyDescent="0.2">
      <c r="A9">
        <v>59</v>
      </c>
      <c r="H9" s="12" t="s">
        <v>629</v>
      </c>
    </row>
    <row r="10" spans="1:13" x14ac:dyDescent="0.2">
      <c r="H10" s="13" t="s">
        <v>65</v>
      </c>
    </row>
    <row r="11" spans="1:13" x14ac:dyDescent="0.2">
      <c r="H11" s="13" t="s">
        <v>65</v>
      </c>
    </row>
    <row r="12" spans="1:13" x14ac:dyDescent="0.2">
      <c r="A12">
        <v>19</v>
      </c>
      <c r="H12" s="47" t="s">
        <v>1183</v>
      </c>
    </row>
    <row r="13" spans="1:13" x14ac:dyDescent="0.2">
      <c r="H13" s="13" t="s">
        <v>291</v>
      </c>
    </row>
    <row r="14" spans="1:13" x14ac:dyDescent="0.2">
      <c r="H14" s="13" t="s">
        <v>291</v>
      </c>
    </row>
    <row r="15" spans="1:13" x14ac:dyDescent="0.2">
      <c r="A15">
        <v>54</v>
      </c>
      <c r="H15" s="13" t="s">
        <v>410</v>
      </c>
    </row>
    <row r="16" spans="1:13" x14ac:dyDescent="0.2">
      <c r="A16">
        <v>6</v>
      </c>
      <c r="H16" s="13" t="s">
        <v>125</v>
      </c>
    </row>
    <row r="17" spans="1:8" x14ac:dyDescent="0.2">
      <c r="A17">
        <v>47</v>
      </c>
      <c r="H17" s="12" t="s">
        <v>410</v>
      </c>
    </row>
    <row r="18" spans="1:8" x14ac:dyDescent="0.2">
      <c r="A18">
        <v>16</v>
      </c>
      <c r="H18" s="13" t="s">
        <v>1183</v>
      </c>
    </row>
    <row r="19" spans="1:8" x14ac:dyDescent="0.2">
      <c r="A19">
        <v>59</v>
      </c>
      <c r="H19" s="13" t="s">
        <v>629</v>
      </c>
    </row>
    <row r="20" spans="1:8" x14ac:dyDescent="0.2">
      <c r="A20">
        <v>5</v>
      </c>
      <c r="H20" s="13" t="s">
        <v>410</v>
      </c>
    </row>
    <row r="21" spans="1:8" x14ac:dyDescent="0.2">
      <c r="A21">
        <v>47</v>
      </c>
      <c r="H21" s="13" t="s">
        <v>410</v>
      </c>
    </row>
    <row r="22" spans="1:8" x14ac:dyDescent="0.2">
      <c r="A22">
        <v>55</v>
      </c>
      <c r="H22" s="48" t="s">
        <v>1189</v>
      </c>
    </row>
    <row r="23" spans="1:8" x14ac:dyDescent="0.2">
      <c r="H23" s="13" t="s">
        <v>410</v>
      </c>
    </row>
    <row r="24" spans="1:8" x14ac:dyDescent="0.2">
      <c r="A24">
        <v>55</v>
      </c>
      <c r="H24" s="12" t="s">
        <v>410</v>
      </c>
    </row>
    <row r="25" spans="1:8" x14ac:dyDescent="0.2">
      <c r="H25" s="13" t="s">
        <v>629</v>
      </c>
    </row>
    <row r="26" spans="1:8" x14ac:dyDescent="0.2">
      <c r="A26">
        <v>49</v>
      </c>
      <c r="H26" s="13" t="s">
        <v>291</v>
      </c>
    </row>
    <row r="27" spans="1:8" x14ac:dyDescent="0.2">
      <c r="A27">
        <v>62</v>
      </c>
      <c r="H27" s="47" t="s">
        <v>410</v>
      </c>
    </row>
    <row r="28" spans="1:8" x14ac:dyDescent="0.2">
      <c r="A28">
        <v>77</v>
      </c>
      <c r="H28" s="13" t="s">
        <v>410</v>
      </c>
    </row>
    <row r="29" spans="1:8" x14ac:dyDescent="0.2">
      <c r="A29">
        <v>72</v>
      </c>
      <c r="H29" s="13" t="s">
        <v>410</v>
      </c>
    </row>
    <row r="30" spans="1:8" x14ac:dyDescent="0.2">
      <c r="A30">
        <v>66</v>
      </c>
      <c r="H30" s="13" t="s">
        <v>291</v>
      </c>
    </row>
    <row r="31" spans="1:8" x14ac:dyDescent="0.2">
      <c r="H31" s="13" t="s">
        <v>629</v>
      </c>
    </row>
    <row r="32" spans="1:8" x14ac:dyDescent="0.2">
      <c r="A32">
        <v>67</v>
      </c>
      <c r="H32" s="13" t="s">
        <v>410</v>
      </c>
    </row>
    <row r="33" spans="1:8" x14ac:dyDescent="0.2">
      <c r="H33" s="13" t="s">
        <v>410</v>
      </c>
    </row>
    <row r="34" spans="1:8" x14ac:dyDescent="0.2">
      <c r="H34" s="13" t="s">
        <v>291</v>
      </c>
    </row>
    <row r="35" spans="1:8" x14ac:dyDescent="0.2">
      <c r="A35">
        <v>124</v>
      </c>
      <c r="H35" s="13" t="s">
        <v>410</v>
      </c>
    </row>
    <row r="36" spans="1:8" x14ac:dyDescent="0.2">
      <c r="A36">
        <v>45</v>
      </c>
      <c r="H36" s="13" t="s">
        <v>410</v>
      </c>
    </row>
    <row r="37" spans="1:8" x14ac:dyDescent="0.2">
      <c r="A37">
        <v>35</v>
      </c>
      <c r="H37" s="13" t="s">
        <v>410</v>
      </c>
    </row>
    <row r="38" spans="1:8" x14ac:dyDescent="0.2">
      <c r="A38">
        <v>10</v>
      </c>
      <c r="H38" s="23" t="s">
        <v>1183</v>
      </c>
    </row>
    <row r="39" spans="1:8" x14ac:dyDescent="0.2">
      <c r="A39">
        <v>60</v>
      </c>
      <c r="H39" s="13" t="s">
        <v>410</v>
      </c>
    </row>
    <row r="40" spans="1:8" x14ac:dyDescent="0.2">
      <c r="A40">
        <v>18</v>
      </c>
      <c r="H40" s="12" t="s">
        <v>410</v>
      </c>
    </row>
    <row r="41" spans="1:8" x14ac:dyDescent="0.2">
      <c r="H41" s="13" t="s">
        <v>291</v>
      </c>
    </row>
    <row r="42" spans="1:8" x14ac:dyDescent="0.2">
      <c r="A42">
        <v>17</v>
      </c>
      <c r="H42" s="13" t="s">
        <v>410</v>
      </c>
    </row>
    <row r="43" spans="1:8" x14ac:dyDescent="0.2">
      <c r="H43" s="13" t="s">
        <v>291</v>
      </c>
    </row>
    <row r="44" spans="1:8" x14ac:dyDescent="0.2">
      <c r="H44" s="13" t="s">
        <v>291</v>
      </c>
    </row>
    <row r="45" spans="1:8" x14ac:dyDescent="0.2">
      <c r="A45">
        <v>71</v>
      </c>
      <c r="H45" s="13" t="s">
        <v>65</v>
      </c>
    </row>
    <row r="46" spans="1:8" x14ac:dyDescent="0.2">
      <c r="H46" s="13" t="s">
        <v>291</v>
      </c>
    </row>
    <row r="47" spans="1:8" x14ac:dyDescent="0.2">
      <c r="A47">
        <v>52</v>
      </c>
      <c r="H47" s="47" t="s">
        <v>410</v>
      </c>
    </row>
    <row r="48" spans="1:8" x14ac:dyDescent="0.2">
      <c r="A48">
        <v>48</v>
      </c>
      <c r="H48" s="12" t="s">
        <v>410</v>
      </c>
    </row>
    <row r="49" spans="1:8" x14ac:dyDescent="0.2">
      <c r="A49">
        <v>6</v>
      </c>
      <c r="H49" s="23" t="s">
        <v>410</v>
      </c>
    </row>
    <row r="50" spans="1:8" x14ac:dyDescent="0.2">
      <c r="A50">
        <v>80</v>
      </c>
      <c r="H50" s="12" t="s">
        <v>410</v>
      </c>
    </row>
    <row r="51" spans="1:8" x14ac:dyDescent="0.2">
      <c r="A51">
        <v>8</v>
      </c>
      <c r="H51" s="12" t="s">
        <v>410</v>
      </c>
    </row>
    <row r="52" spans="1:8" x14ac:dyDescent="0.2">
      <c r="A52">
        <v>53</v>
      </c>
      <c r="H52" s="23" t="s">
        <v>410</v>
      </c>
    </row>
    <row r="53" spans="1:8" x14ac:dyDescent="0.2">
      <c r="H53" s="13" t="s">
        <v>291</v>
      </c>
    </row>
    <row r="54" spans="1:8" x14ac:dyDescent="0.2">
      <c r="H54" s="13" t="s">
        <v>410</v>
      </c>
    </row>
    <row r="55" spans="1:8" x14ac:dyDescent="0.2">
      <c r="A55">
        <v>60</v>
      </c>
      <c r="H55" s="13" t="s">
        <v>410</v>
      </c>
    </row>
    <row r="56" spans="1:8" x14ac:dyDescent="0.2">
      <c r="A56">
        <v>69</v>
      </c>
      <c r="H56" s="13" t="s">
        <v>410</v>
      </c>
    </row>
    <row r="57" spans="1:8" x14ac:dyDescent="0.2">
      <c r="H57" s="13" t="s">
        <v>766</v>
      </c>
    </row>
    <row r="58" spans="1:8" x14ac:dyDescent="0.2">
      <c r="A58">
        <v>49</v>
      </c>
      <c r="H58" s="12" t="s">
        <v>410</v>
      </c>
    </row>
    <row r="59" spans="1:8" x14ac:dyDescent="0.2">
      <c r="A59">
        <v>7</v>
      </c>
      <c r="H59" s="12" t="s">
        <v>125</v>
      </c>
    </row>
    <row r="60" spans="1:8" x14ac:dyDescent="0.2">
      <c r="H60" s="13" t="s">
        <v>410</v>
      </c>
    </row>
    <row r="61" spans="1:8" x14ac:dyDescent="0.2">
      <c r="A61">
        <v>54</v>
      </c>
      <c r="H61" s="13" t="s">
        <v>629</v>
      </c>
    </row>
    <row r="62" spans="1:8" x14ac:dyDescent="0.2">
      <c r="A62">
        <v>79</v>
      </c>
      <c r="H62" s="13" t="s">
        <v>629</v>
      </c>
    </row>
    <row r="63" spans="1:8" x14ac:dyDescent="0.2">
      <c r="A63">
        <v>10</v>
      </c>
      <c r="H63" s="13" t="s">
        <v>410</v>
      </c>
    </row>
    <row r="64" spans="1:8" x14ac:dyDescent="0.2">
      <c r="A64">
        <v>54</v>
      </c>
      <c r="H64" s="13" t="s">
        <v>410</v>
      </c>
    </row>
    <row r="65" spans="1:8" x14ac:dyDescent="0.2">
      <c r="A65">
        <v>60</v>
      </c>
      <c r="H65" s="12" t="s">
        <v>410</v>
      </c>
    </row>
    <row r="66" spans="1:8" x14ac:dyDescent="0.2">
      <c r="H66" s="13" t="s">
        <v>291</v>
      </c>
    </row>
    <row r="67" spans="1:8" x14ac:dyDescent="0.2">
      <c r="A67">
        <v>63</v>
      </c>
      <c r="H67" s="12" t="s">
        <v>629</v>
      </c>
    </row>
    <row r="68" spans="1:8" x14ac:dyDescent="0.2">
      <c r="H68" s="13" t="s">
        <v>291</v>
      </c>
    </row>
    <row r="69" spans="1:8" x14ac:dyDescent="0.2">
      <c r="H69" s="13" t="s">
        <v>65</v>
      </c>
    </row>
    <row r="70" spans="1:8" x14ac:dyDescent="0.2">
      <c r="H70" s="13" t="s">
        <v>291</v>
      </c>
    </row>
    <row r="71" spans="1:8" x14ac:dyDescent="0.2">
      <c r="H71" s="13" t="s">
        <v>291</v>
      </c>
    </row>
    <row r="72" spans="1:8" x14ac:dyDescent="0.2">
      <c r="H72" s="13" t="s">
        <v>291</v>
      </c>
    </row>
    <row r="73" spans="1:8" x14ac:dyDescent="0.2">
      <c r="A73">
        <v>67</v>
      </c>
      <c r="H73" s="12" t="s">
        <v>410</v>
      </c>
    </row>
    <row r="74" spans="1:8" x14ac:dyDescent="0.2">
      <c r="A74">
        <v>13</v>
      </c>
      <c r="H74" s="43"/>
    </row>
    <row r="75" spans="1:8" x14ac:dyDescent="0.2">
      <c r="A75">
        <v>15</v>
      </c>
      <c r="H75" s="43"/>
    </row>
    <row r="76" spans="1:8" x14ac:dyDescent="0.2">
      <c r="A76">
        <v>8</v>
      </c>
      <c r="H76" s="43"/>
    </row>
    <row r="77" spans="1:8" x14ac:dyDescent="0.2">
      <c r="A77">
        <v>17</v>
      </c>
      <c r="H77" s="43"/>
    </row>
    <row r="78" spans="1:8" x14ac:dyDescent="0.2">
      <c r="A78">
        <v>37</v>
      </c>
      <c r="H78" s="43" t="s">
        <v>997</v>
      </c>
    </row>
    <row r="79" spans="1:8" x14ac:dyDescent="0.2">
      <c r="H79" s="13" t="s">
        <v>410</v>
      </c>
    </row>
    <row r="80" spans="1:8" x14ac:dyDescent="0.2">
      <c r="A80">
        <v>16</v>
      </c>
      <c r="H80" s="13"/>
    </row>
    <row r="81" spans="1:8" x14ac:dyDescent="0.2">
      <c r="A81">
        <v>6</v>
      </c>
      <c r="H81" s="12" t="s">
        <v>410</v>
      </c>
    </row>
    <row r="82" spans="1:8" x14ac:dyDescent="0.2">
      <c r="A82">
        <v>64</v>
      </c>
      <c r="H82" s="13" t="s">
        <v>629</v>
      </c>
    </row>
    <row r="83" spans="1:8" x14ac:dyDescent="0.2">
      <c r="A83">
        <v>10</v>
      </c>
      <c r="H83" s="13" t="s">
        <v>410</v>
      </c>
    </row>
    <row r="84" spans="1:8" x14ac:dyDescent="0.2">
      <c r="H84" s="13" t="s">
        <v>291</v>
      </c>
    </row>
    <row r="85" spans="1:8" x14ac:dyDescent="0.2">
      <c r="H85" s="13" t="s">
        <v>1190</v>
      </c>
    </row>
    <row r="86" spans="1:8" x14ac:dyDescent="0.2">
      <c r="H86" s="13" t="s">
        <v>1191</v>
      </c>
    </row>
    <row r="87" spans="1:8" x14ac:dyDescent="0.2">
      <c r="H87" s="13" t="s">
        <v>1192</v>
      </c>
    </row>
    <row r="88" spans="1:8" x14ac:dyDescent="0.2">
      <c r="A88">
        <v>58</v>
      </c>
      <c r="H88" s="13" t="s">
        <v>1192</v>
      </c>
    </row>
    <row r="89" spans="1:8" x14ac:dyDescent="0.2">
      <c r="A89">
        <v>8</v>
      </c>
      <c r="H89" s="23" t="s">
        <v>1183</v>
      </c>
    </row>
    <row r="90" spans="1:8" x14ac:dyDescent="0.2">
      <c r="A90">
        <v>14</v>
      </c>
      <c r="H90" s="13" t="s">
        <v>1192</v>
      </c>
    </row>
    <row r="91" spans="1:8" x14ac:dyDescent="0.2">
      <c r="A91">
        <v>12</v>
      </c>
      <c r="H91" s="72" t="s">
        <v>1183</v>
      </c>
    </row>
    <row r="92" spans="1:8" x14ac:dyDescent="0.2">
      <c r="H92" s="13" t="s">
        <v>1192</v>
      </c>
    </row>
    <row r="93" spans="1:8" x14ac:dyDescent="0.2">
      <c r="A93">
        <v>12</v>
      </c>
      <c r="H93" s="13" t="s">
        <v>1183</v>
      </c>
    </row>
    <row r="94" spans="1:8" x14ac:dyDescent="0.2">
      <c r="H94" s="13" t="s">
        <v>291</v>
      </c>
    </row>
    <row r="95" spans="1:8" x14ac:dyDescent="0.2">
      <c r="H95" s="13" t="s">
        <v>291</v>
      </c>
    </row>
    <row r="96" spans="1:8" x14ac:dyDescent="0.2">
      <c r="H96" s="13" t="s">
        <v>1190</v>
      </c>
    </row>
    <row r="97" spans="1:8" x14ac:dyDescent="0.2">
      <c r="H97" s="13" t="s">
        <v>1192</v>
      </c>
    </row>
    <row r="98" spans="1:8" x14ac:dyDescent="0.2">
      <c r="H98" s="13" t="s">
        <v>1192</v>
      </c>
    </row>
    <row r="99" spans="1:8" x14ac:dyDescent="0.2">
      <c r="H99" s="13" t="s">
        <v>1192</v>
      </c>
    </row>
    <row r="100" spans="1:8" x14ac:dyDescent="0.2">
      <c r="H100" s="13" t="s">
        <v>291</v>
      </c>
    </row>
    <row r="101" spans="1:8" x14ac:dyDescent="0.2">
      <c r="A101">
        <v>17</v>
      </c>
      <c r="H101" s="13" t="s">
        <v>1192</v>
      </c>
    </row>
    <row r="102" spans="1:8" x14ac:dyDescent="0.2">
      <c r="A102">
        <v>7</v>
      </c>
      <c r="H102" s="13" t="s">
        <v>1190</v>
      </c>
    </row>
    <row r="103" spans="1:8" x14ac:dyDescent="0.2">
      <c r="A103">
        <v>2</v>
      </c>
      <c r="H103" s="13" t="s">
        <v>1183</v>
      </c>
    </row>
    <row r="104" spans="1:8" x14ac:dyDescent="0.2">
      <c r="A104">
        <v>12</v>
      </c>
      <c r="H104" s="47" t="s">
        <v>1183</v>
      </c>
    </row>
    <row r="105" spans="1:8" x14ac:dyDescent="0.2">
      <c r="A105">
        <v>7</v>
      </c>
      <c r="H105" s="13" t="s">
        <v>1190</v>
      </c>
    </row>
    <row r="106" spans="1:8" x14ac:dyDescent="0.2">
      <c r="H106" s="13" t="s">
        <v>1192</v>
      </c>
    </row>
    <row r="107" spans="1:8" x14ac:dyDescent="0.2">
      <c r="A107">
        <v>55</v>
      </c>
      <c r="H107" s="13" t="s">
        <v>1192</v>
      </c>
    </row>
    <row r="108" spans="1:8" x14ac:dyDescent="0.2">
      <c r="H108" s="13" t="s">
        <v>291</v>
      </c>
    </row>
    <row r="109" spans="1:8" x14ac:dyDescent="0.2">
      <c r="H109" s="13" t="s">
        <v>1192</v>
      </c>
    </row>
    <row r="110" spans="1:8" x14ac:dyDescent="0.2">
      <c r="H110" s="13" t="s">
        <v>1192</v>
      </c>
    </row>
    <row r="111" spans="1:8" x14ac:dyDescent="0.2">
      <c r="H111" s="13" t="s">
        <v>1192</v>
      </c>
    </row>
    <row r="112" spans="1:8" x14ac:dyDescent="0.2">
      <c r="A112">
        <v>1</v>
      </c>
      <c r="H112" s="13" t="s">
        <v>1192</v>
      </c>
    </row>
    <row r="113" spans="1:8" x14ac:dyDescent="0.2">
      <c r="H113" s="13" t="s">
        <v>1192</v>
      </c>
    </row>
    <row r="114" spans="1:8" x14ac:dyDescent="0.2">
      <c r="H114" s="13" t="s">
        <v>1192</v>
      </c>
    </row>
    <row r="115" spans="1:8" x14ac:dyDescent="0.2">
      <c r="A115">
        <v>13</v>
      </c>
      <c r="H115" s="13" t="s">
        <v>1193</v>
      </c>
    </row>
    <row r="116" spans="1:8" x14ac:dyDescent="0.2">
      <c r="A116">
        <v>11</v>
      </c>
      <c r="H116" s="13" t="s">
        <v>1193</v>
      </c>
    </row>
    <row r="117" spans="1:8" x14ac:dyDescent="0.2">
      <c r="A117">
        <v>82</v>
      </c>
      <c r="H117" s="43"/>
    </row>
    <row r="118" spans="1:8" x14ac:dyDescent="0.2">
      <c r="H118" s="13" t="s">
        <v>410</v>
      </c>
    </row>
    <row r="119" spans="1:8" x14ac:dyDescent="0.2">
      <c r="A119">
        <v>70</v>
      </c>
      <c r="H119" s="12" t="s">
        <v>410</v>
      </c>
    </row>
    <row r="120" spans="1:8" x14ac:dyDescent="0.2">
      <c r="A120">
        <v>45</v>
      </c>
      <c r="H120" s="12" t="s">
        <v>410</v>
      </c>
    </row>
    <row r="121" spans="1:8" x14ac:dyDescent="0.2">
      <c r="A121">
        <v>69</v>
      </c>
      <c r="H121" s="13" t="s">
        <v>410</v>
      </c>
    </row>
    <row r="122" spans="1:8" x14ac:dyDescent="0.2">
      <c r="A122">
        <v>53</v>
      </c>
      <c r="H122" s="13" t="s">
        <v>65</v>
      </c>
    </row>
    <row r="123" spans="1:8" x14ac:dyDescent="0.2">
      <c r="H123" s="13" t="s">
        <v>1194</v>
      </c>
    </row>
    <row r="124" spans="1:8" x14ac:dyDescent="0.2">
      <c r="H124" s="13" t="s">
        <v>410</v>
      </c>
    </row>
    <row r="125" spans="1:8" x14ac:dyDescent="0.2">
      <c r="H125" s="13" t="s">
        <v>291</v>
      </c>
    </row>
    <row r="126" spans="1:8" x14ac:dyDescent="0.2">
      <c r="H126" s="13" t="s">
        <v>291</v>
      </c>
    </row>
    <row r="127" spans="1:8" x14ac:dyDescent="0.2">
      <c r="H127" s="13" t="s">
        <v>65</v>
      </c>
    </row>
    <row r="128" spans="1:8" x14ac:dyDescent="0.2">
      <c r="H128" s="12" t="s">
        <v>410</v>
      </c>
    </row>
    <row r="129" spans="1:8" x14ac:dyDescent="0.2">
      <c r="H129" s="13" t="s">
        <v>410</v>
      </c>
    </row>
    <row r="130" spans="1:8" x14ac:dyDescent="0.2">
      <c r="A130">
        <v>64</v>
      </c>
      <c r="H130" s="13" t="s">
        <v>660</v>
      </c>
    </row>
    <row r="131" spans="1:8" x14ac:dyDescent="0.2">
      <c r="A131">
        <v>11</v>
      </c>
      <c r="H131" s="12" t="s">
        <v>410</v>
      </c>
    </row>
    <row r="132" spans="1:8" x14ac:dyDescent="0.2">
      <c r="H132" s="13" t="s">
        <v>65</v>
      </c>
    </row>
    <row r="133" spans="1:8" x14ac:dyDescent="0.2">
      <c r="H133" s="13" t="s">
        <v>291</v>
      </c>
    </row>
    <row r="134" spans="1:8" x14ac:dyDescent="0.2">
      <c r="A134">
        <v>78</v>
      </c>
      <c r="H134" s="13" t="s">
        <v>410</v>
      </c>
    </row>
    <row r="135" spans="1:8" x14ac:dyDescent="0.2">
      <c r="H135" s="13" t="s">
        <v>291</v>
      </c>
    </row>
    <row r="136" spans="1:8" x14ac:dyDescent="0.2">
      <c r="H136" s="13" t="s">
        <v>291</v>
      </c>
    </row>
    <row r="137" spans="1:8" x14ac:dyDescent="0.2">
      <c r="H137" s="13" t="s">
        <v>65</v>
      </c>
    </row>
    <row r="138" spans="1:8" x14ac:dyDescent="0.2">
      <c r="H138" s="13" t="s">
        <v>410</v>
      </c>
    </row>
    <row r="139" spans="1:8" x14ac:dyDescent="0.2">
      <c r="H139" s="13" t="s">
        <v>410</v>
      </c>
    </row>
    <row r="140" spans="1:8" x14ac:dyDescent="0.2">
      <c r="A140">
        <v>70</v>
      </c>
      <c r="H140" s="13" t="s">
        <v>979</v>
      </c>
    </row>
    <row r="141" spans="1:8" x14ac:dyDescent="0.2">
      <c r="A141">
        <v>124</v>
      </c>
      <c r="H141" s="13" t="s">
        <v>1195</v>
      </c>
    </row>
    <row r="142" spans="1:8" x14ac:dyDescent="0.2">
      <c r="A142">
        <v>12</v>
      </c>
      <c r="H142" s="43"/>
    </row>
    <row r="143" spans="1:8" x14ac:dyDescent="0.2">
      <c r="H143" s="13" t="s">
        <v>410</v>
      </c>
    </row>
    <row r="144" spans="1:8" x14ac:dyDescent="0.2">
      <c r="A144">
        <v>52</v>
      </c>
      <c r="H144" s="13" t="s">
        <v>291</v>
      </c>
    </row>
    <row r="145" spans="1:8" x14ac:dyDescent="0.2">
      <c r="H145" s="13" t="s">
        <v>45</v>
      </c>
    </row>
    <row r="146" spans="1:8" x14ac:dyDescent="0.2">
      <c r="A146">
        <v>124</v>
      </c>
      <c r="H146" s="13" t="s">
        <v>629</v>
      </c>
    </row>
    <row r="147" spans="1:8" x14ac:dyDescent="0.2">
      <c r="A147">
        <v>7</v>
      </c>
      <c r="H147" s="48" t="s">
        <v>979</v>
      </c>
    </row>
    <row r="148" spans="1:8" x14ac:dyDescent="0.2">
      <c r="A148">
        <v>78</v>
      </c>
      <c r="H148" s="13" t="s">
        <v>291</v>
      </c>
    </row>
    <row r="149" spans="1:8" x14ac:dyDescent="0.2">
      <c r="H149" s="13" t="s">
        <v>291</v>
      </c>
    </row>
    <row r="150" spans="1:8" x14ac:dyDescent="0.2">
      <c r="H150" s="13" t="s">
        <v>291</v>
      </c>
    </row>
    <row r="151" spans="1:8" x14ac:dyDescent="0.2">
      <c r="A151">
        <v>71</v>
      </c>
      <c r="H151" s="13" t="s">
        <v>1183</v>
      </c>
    </row>
    <row r="152" spans="1:8" x14ac:dyDescent="0.2">
      <c r="H152" s="13" t="s">
        <v>410</v>
      </c>
    </row>
    <row r="153" spans="1:8" x14ac:dyDescent="0.2">
      <c r="A153">
        <v>65</v>
      </c>
      <c r="H153" s="47" t="s">
        <v>410</v>
      </c>
    </row>
    <row r="154" spans="1:8" x14ac:dyDescent="0.2">
      <c r="A154">
        <v>23</v>
      </c>
      <c r="H154" s="13" t="s">
        <v>410</v>
      </c>
    </row>
    <row r="155" spans="1:8" x14ac:dyDescent="0.2">
      <c r="A155">
        <v>57</v>
      </c>
      <c r="H155" s="13" t="s">
        <v>629</v>
      </c>
    </row>
    <row r="156" spans="1:8" x14ac:dyDescent="0.2">
      <c r="H156" s="13" t="s">
        <v>410</v>
      </c>
    </row>
    <row r="157" spans="1:8" x14ac:dyDescent="0.2">
      <c r="A157">
        <v>41</v>
      </c>
      <c r="H157" s="13" t="s">
        <v>410</v>
      </c>
    </row>
    <row r="158" spans="1:8" x14ac:dyDescent="0.2">
      <c r="A158">
        <v>60</v>
      </c>
      <c r="H158" s="13" t="s">
        <v>410</v>
      </c>
    </row>
    <row r="159" spans="1:8" x14ac:dyDescent="0.2">
      <c r="A159">
        <v>61</v>
      </c>
      <c r="H159" s="12" t="s">
        <v>410</v>
      </c>
    </row>
    <row r="160" spans="1:8" x14ac:dyDescent="0.2">
      <c r="H160" s="13" t="s">
        <v>1192</v>
      </c>
    </row>
    <row r="161" spans="1:8" x14ac:dyDescent="0.2">
      <c r="H161" s="13" t="s">
        <v>1192</v>
      </c>
    </row>
    <row r="162" spans="1:8" x14ac:dyDescent="0.2">
      <c r="H162" s="13" t="s">
        <v>1192</v>
      </c>
    </row>
    <row r="163" spans="1:8" x14ac:dyDescent="0.2">
      <c r="A163">
        <v>10</v>
      </c>
      <c r="H163" s="13" t="s">
        <v>291</v>
      </c>
    </row>
    <row r="164" spans="1:8" x14ac:dyDescent="0.2">
      <c r="H164" s="13" t="s">
        <v>1192</v>
      </c>
    </row>
    <row r="165" spans="1:8" x14ac:dyDescent="0.2">
      <c r="A165">
        <v>3</v>
      </c>
      <c r="H165" s="13" t="s">
        <v>1183</v>
      </c>
    </row>
    <row r="166" spans="1:8" x14ac:dyDescent="0.2">
      <c r="A166">
        <v>43</v>
      </c>
      <c r="H166" s="13" t="s">
        <v>1183</v>
      </c>
    </row>
    <row r="167" spans="1:8" x14ac:dyDescent="0.2">
      <c r="H167" s="68" t="s">
        <v>1192</v>
      </c>
    </row>
    <row r="168" spans="1:8" x14ac:dyDescent="0.2">
      <c r="H168" s="13" t="s">
        <v>1192</v>
      </c>
    </row>
    <row r="169" spans="1:8" x14ac:dyDescent="0.2">
      <c r="H169" s="13" t="s">
        <v>1183</v>
      </c>
    </row>
    <row r="170" spans="1:8" x14ac:dyDescent="0.2">
      <c r="H170" s="13" t="s">
        <v>1192</v>
      </c>
    </row>
    <row r="171" spans="1:8" x14ac:dyDescent="0.2">
      <c r="H171" s="13" t="s">
        <v>1190</v>
      </c>
    </row>
    <row r="172" spans="1:8" x14ac:dyDescent="0.2">
      <c r="H172" s="13" t="s">
        <v>291</v>
      </c>
    </row>
    <row r="173" spans="1:8" x14ac:dyDescent="0.2">
      <c r="H173" s="13" t="s">
        <v>291</v>
      </c>
    </row>
    <row r="174" spans="1:8" x14ac:dyDescent="0.2">
      <c r="H174" s="13" t="s">
        <v>1192</v>
      </c>
    </row>
    <row r="175" spans="1:8" x14ac:dyDescent="0.2">
      <c r="H175" s="13" t="s">
        <v>1190</v>
      </c>
    </row>
    <row r="176" spans="1:8" x14ac:dyDescent="0.2">
      <c r="H176" s="13" t="s">
        <v>291</v>
      </c>
    </row>
    <row r="177" spans="1:8" x14ac:dyDescent="0.2">
      <c r="A177">
        <v>42</v>
      </c>
      <c r="H177" s="13" t="s">
        <v>291</v>
      </c>
    </row>
    <row r="178" spans="1:8" x14ac:dyDescent="0.2">
      <c r="A178">
        <v>13</v>
      </c>
      <c r="H178" s="12" t="s">
        <v>1183</v>
      </c>
    </row>
    <row r="179" spans="1:8" x14ac:dyDescent="0.2">
      <c r="A179">
        <v>5</v>
      </c>
      <c r="H179" s="13" t="s">
        <v>291</v>
      </c>
    </row>
    <row r="180" spans="1:8" x14ac:dyDescent="0.2">
      <c r="H180" s="13" t="s">
        <v>1192</v>
      </c>
    </row>
    <row r="181" spans="1:8" x14ac:dyDescent="0.2">
      <c r="H181" s="13" t="s">
        <v>1192</v>
      </c>
    </row>
    <row r="182" spans="1:8" x14ac:dyDescent="0.2">
      <c r="A182">
        <v>9</v>
      </c>
      <c r="H182" s="13" t="s">
        <v>1183</v>
      </c>
    </row>
    <row r="183" spans="1:8" x14ac:dyDescent="0.2">
      <c r="H183" s="13" t="s">
        <v>1192</v>
      </c>
    </row>
    <row r="184" spans="1:8" x14ac:dyDescent="0.2">
      <c r="H184" s="13" t="s">
        <v>1192</v>
      </c>
    </row>
    <row r="185" spans="1:8" x14ac:dyDescent="0.2">
      <c r="A185">
        <v>2</v>
      </c>
      <c r="H185" s="42" t="s">
        <v>1192</v>
      </c>
    </row>
    <row r="186" spans="1:8" x14ac:dyDescent="0.2">
      <c r="A186">
        <v>0</v>
      </c>
      <c r="H186" s="42" t="s">
        <v>1193</v>
      </c>
    </row>
    <row r="187" spans="1:8" x14ac:dyDescent="0.2">
      <c r="A187">
        <v>10</v>
      </c>
      <c r="H187" s="13" t="s">
        <v>1196</v>
      </c>
    </row>
    <row r="188" spans="1:8" x14ac:dyDescent="0.2">
      <c r="A188">
        <v>11</v>
      </c>
      <c r="H188" s="13" t="s">
        <v>1193</v>
      </c>
    </row>
    <row r="189" spans="1:8" x14ac:dyDescent="0.2">
      <c r="A189">
        <v>124</v>
      </c>
      <c r="H189" s="13" t="s">
        <v>1192</v>
      </c>
    </row>
    <row r="190" spans="1:8" x14ac:dyDescent="0.2">
      <c r="A190">
        <v>0</v>
      </c>
      <c r="H190" s="13" t="s">
        <v>1193</v>
      </c>
    </row>
    <row r="191" spans="1:8" x14ac:dyDescent="0.2">
      <c r="A191">
        <v>9</v>
      </c>
      <c r="H191" s="42" t="s">
        <v>1192</v>
      </c>
    </row>
    <row r="192" spans="1:8" x14ac:dyDescent="0.2">
      <c r="A192">
        <v>25</v>
      </c>
      <c r="H192" s="42" t="s">
        <v>1196</v>
      </c>
    </row>
    <row r="193" spans="1:8" x14ac:dyDescent="0.2">
      <c r="A193">
        <v>124</v>
      </c>
      <c r="H193" s="42" t="s">
        <v>1193</v>
      </c>
    </row>
    <row r="194" spans="1:8" x14ac:dyDescent="0.2">
      <c r="A194">
        <v>64</v>
      </c>
      <c r="H194" s="42" t="s">
        <v>1193</v>
      </c>
    </row>
    <row r="195" spans="1:8" x14ac:dyDescent="0.2">
      <c r="A195">
        <v>124</v>
      </c>
      <c r="H195" s="42" t="s">
        <v>1196</v>
      </c>
    </row>
    <row r="196" spans="1:8" x14ac:dyDescent="0.2">
      <c r="A196">
        <v>38</v>
      </c>
      <c r="H196" s="73" t="s">
        <v>410</v>
      </c>
    </row>
    <row r="197" spans="1:8" x14ac:dyDescent="0.2">
      <c r="A197">
        <v>61</v>
      </c>
      <c r="H197" s="42" t="s">
        <v>629</v>
      </c>
    </row>
    <row r="198" spans="1:8" x14ac:dyDescent="0.2">
      <c r="A198">
        <v>53</v>
      </c>
      <c r="H198" s="42" t="s">
        <v>410</v>
      </c>
    </row>
    <row r="199" spans="1:8" x14ac:dyDescent="0.2">
      <c r="H199" s="42" t="s">
        <v>410</v>
      </c>
    </row>
    <row r="200" spans="1:8" x14ac:dyDescent="0.2">
      <c r="H200" s="13" t="s">
        <v>410</v>
      </c>
    </row>
    <row r="201" spans="1:8" x14ac:dyDescent="0.2">
      <c r="H201" s="13" t="s">
        <v>65</v>
      </c>
    </row>
    <row r="202" spans="1:8" x14ac:dyDescent="0.2">
      <c r="H202" s="13" t="s">
        <v>65</v>
      </c>
    </row>
    <row r="203" spans="1:8" x14ac:dyDescent="0.2">
      <c r="H203" s="13" t="s">
        <v>410</v>
      </c>
    </row>
    <row r="204" spans="1:8" x14ac:dyDescent="0.2">
      <c r="H204" s="13" t="s">
        <v>65</v>
      </c>
    </row>
    <row r="205" spans="1:8" x14ac:dyDescent="0.2">
      <c r="H205" s="13" t="s">
        <v>410</v>
      </c>
    </row>
    <row r="206" spans="1:8" x14ac:dyDescent="0.2">
      <c r="H206" s="13" t="s">
        <v>291</v>
      </c>
    </row>
    <row r="207" spans="1:8" x14ac:dyDescent="0.2">
      <c r="H207" s="13" t="s">
        <v>291</v>
      </c>
    </row>
    <row r="208" spans="1:8" x14ac:dyDescent="0.2">
      <c r="A208">
        <v>86</v>
      </c>
      <c r="H208" s="12" t="s">
        <v>410</v>
      </c>
    </row>
    <row r="209" spans="1:8" x14ac:dyDescent="0.2">
      <c r="H209" s="13" t="s">
        <v>291</v>
      </c>
    </row>
    <row r="210" spans="1:8" x14ac:dyDescent="0.2">
      <c r="A210">
        <v>9</v>
      </c>
      <c r="H210" s="48" t="s">
        <v>979</v>
      </c>
    </row>
    <row r="211" spans="1:8" x14ac:dyDescent="0.2">
      <c r="A211">
        <v>8</v>
      </c>
      <c r="H211" s="43" t="s">
        <v>410</v>
      </c>
    </row>
    <row r="212" spans="1:8" x14ac:dyDescent="0.2">
      <c r="A212">
        <v>55</v>
      </c>
      <c r="H212" s="23" t="s">
        <v>410</v>
      </c>
    </row>
    <row r="213" spans="1:8" x14ac:dyDescent="0.2">
      <c r="H213" s="13" t="s">
        <v>45</v>
      </c>
    </row>
    <row r="214" spans="1:8" x14ac:dyDescent="0.2">
      <c r="A214">
        <v>2</v>
      </c>
      <c r="H214" s="13" t="s">
        <v>291</v>
      </c>
    </row>
    <row r="215" spans="1:8" x14ac:dyDescent="0.2">
      <c r="A215">
        <v>88</v>
      </c>
      <c r="H215" s="23" t="s">
        <v>410</v>
      </c>
    </row>
    <row r="216" spans="1:8" x14ac:dyDescent="0.2">
      <c r="H216" s="13" t="s">
        <v>291</v>
      </c>
    </row>
    <row r="217" spans="1:8" x14ac:dyDescent="0.2">
      <c r="A217">
        <v>63</v>
      </c>
      <c r="H217" s="47" t="s">
        <v>410</v>
      </c>
    </row>
    <row r="218" spans="1:8" x14ac:dyDescent="0.2">
      <c r="A218">
        <v>61</v>
      </c>
      <c r="H218" s="12" t="s">
        <v>410</v>
      </c>
    </row>
    <row r="219" spans="1:8" x14ac:dyDescent="0.2">
      <c r="H219" s="13" t="s">
        <v>65</v>
      </c>
    </row>
    <row r="220" spans="1:8" x14ac:dyDescent="0.2">
      <c r="H220" s="13" t="s">
        <v>291</v>
      </c>
    </row>
    <row r="221" spans="1:8" x14ac:dyDescent="0.2">
      <c r="A221">
        <v>9</v>
      </c>
      <c r="H221" s="12" t="s">
        <v>125</v>
      </c>
    </row>
    <row r="222" spans="1:8" x14ac:dyDescent="0.2">
      <c r="A222">
        <v>28</v>
      </c>
      <c r="H222" s="13" t="s">
        <v>410</v>
      </c>
    </row>
    <row r="223" spans="1:8" x14ac:dyDescent="0.2">
      <c r="H223" s="13" t="s">
        <v>410</v>
      </c>
    </row>
    <row r="224" spans="1:8" x14ac:dyDescent="0.2">
      <c r="A224">
        <v>54</v>
      </c>
      <c r="H224" s="23" t="s">
        <v>410</v>
      </c>
    </row>
    <row r="225" spans="1:8" x14ac:dyDescent="0.2">
      <c r="H225" s="13" t="s">
        <v>410</v>
      </c>
    </row>
    <row r="226" spans="1:8" x14ac:dyDescent="0.2">
      <c r="H226" s="13" t="s">
        <v>291</v>
      </c>
    </row>
    <row r="227" spans="1:8" x14ac:dyDescent="0.2">
      <c r="A227">
        <v>62</v>
      </c>
      <c r="H227" s="13" t="s">
        <v>410</v>
      </c>
    </row>
    <row r="228" spans="1:8" x14ac:dyDescent="0.2">
      <c r="A228">
        <v>14</v>
      </c>
      <c r="H228" s="13" t="s">
        <v>410</v>
      </c>
    </row>
    <row r="229" spans="1:8" x14ac:dyDescent="0.2">
      <c r="H229" s="13" t="s">
        <v>410</v>
      </c>
    </row>
    <row r="230" spans="1:8" x14ac:dyDescent="0.2">
      <c r="H230" s="13" t="s">
        <v>410</v>
      </c>
    </row>
    <row r="231" spans="1:8" x14ac:dyDescent="0.2">
      <c r="H231" s="13" t="s">
        <v>410</v>
      </c>
    </row>
    <row r="232" spans="1:8" x14ac:dyDescent="0.2">
      <c r="A232">
        <v>41</v>
      </c>
      <c r="H232" s="13" t="s">
        <v>291</v>
      </c>
    </row>
    <row r="233" spans="1:8" x14ac:dyDescent="0.2">
      <c r="A233">
        <v>10</v>
      </c>
      <c r="H233" s="13" t="s">
        <v>410</v>
      </c>
    </row>
    <row r="234" spans="1:8" x14ac:dyDescent="0.2">
      <c r="A234">
        <v>124</v>
      </c>
      <c r="H234" s="13" t="s">
        <v>410</v>
      </c>
    </row>
    <row r="235" spans="1:8" x14ac:dyDescent="0.2">
      <c r="A235">
        <v>16</v>
      </c>
      <c r="H235" s="12" t="s">
        <v>410</v>
      </c>
    </row>
    <row r="236" spans="1:8" x14ac:dyDescent="0.2">
      <c r="H236" s="13" t="s">
        <v>410</v>
      </c>
    </row>
    <row r="237" spans="1:8" x14ac:dyDescent="0.2">
      <c r="A237">
        <v>52</v>
      </c>
      <c r="H237" s="13" t="s">
        <v>410</v>
      </c>
    </row>
    <row r="238" spans="1:8" x14ac:dyDescent="0.2">
      <c r="A238">
        <v>59</v>
      </c>
      <c r="H238" s="12" t="s">
        <v>410</v>
      </c>
    </row>
    <row r="239" spans="1:8" x14ac:dyDescent="0.2">
      <c r="A239">
        <v>8</v>
      </c>
      <c r="H239" s="13" t="s">
        <v>1192</v>
      </c>
    </row>
    <row r="240" spans="1:8" x14ac:dyDescent="0.2">
      <c r="H240" s="13" t="s">
        <v>291</v>
      </c>
    </row>
    <row r="241" spans="1:8" x14ac:dyDescent="0.2">
      <c r="H241" s="13" t="s">
        <v>65</v>
      </c>
    </row>
    <row r="242" spans="1:8" x14ac:dyDescent="0.2">
      <c r="H242" s="13" t="s">
        <v>45</v>
      </c>
    </row>
    <row r="243" spans="1:8" x14ac:dyDescent="0.2">
      <c r="A243">
        <v>4</v>
      </c>
      <c r="H243" s="43" t="s">
        <v>410</v>
      </c>
    </row>
    <row r="244" spans="1:8" x14ac:dyDescent="0.2">
      <c r="H244" s="13" t="s">
        <v>291</v>
      </c>
    </row>
    <row r="245" spans="1:8" x14ac:dyDescent="0.2">
      <c r="H245" s="13" t="s">
        <v>410</v>
      </c>
    </row>
    <row r="246" spans="1:8" x14ac:dyDescent="0.2">
      <c r="H246" s="13" t="s">
        <v>291</v>
      </c>
    </row>
    <row r="247" spans="1:8" x14ac:dyDescent="0.2">
      <c r="A247">
        <v>16</v>
      </c>
      <c r="H247" s="13" t="s">
        <v>410</v>
      </c>
    </row>
    <row r="248" spans="1:8" x14ac:dyDescent="0.2">
      <c r="A248">
        <v>11</v>
      </c>
      <c r="H248" s="13" t="s">
        <v>410</v>
      </c>
    </row>
    <row r="249" spans="1:8" x14ac:dyDescent="0.2">
      <c r="A249">
        <v>10</v>
      </c>
      <c r="H249" s="13" t="s">
        <v>410</v>
      </c>
    </row>
    <row r="250" spans="1:8" x14ac:dyDescent="0.2">
      <c r="H250" s="13" t="s">
        <v>65</v>
      </c>
    </row>
    <row r="251" spans="1:8" x14ac:dyDescent="0.2">
      <c r="H251" s="13" t="s">
        <v>291</v>
      </c>
    </row>
    <row r="252" spans="1:8" x14ac:dyDescent="0.2">
      <c r="H252" s="13" t="s">
        <v>291</v>
      </c>
    </row>
    <row r="253" spans="1:8" x14ac:dyDescent="0.2">
      <c r="A253">
        <v>124</v>
      </c>
      <c r="H253" s="13" t="s">
        <v>410</v>
      </c>
    </row>
    <row r="254" spans="1:8" x14ac:dyDescent="0.2">
      <c r="H254" s="13" t="s">
        <v>65</v>
      </c>
    </row>
    <row r="255" spans="1:8" x14ac:dyDescent="0.2">
      <c r="H255" s="13" t="s">
        <v>410</v>
      </c>
    </row>
    <row r="256" spans="1:8" x14ac:dyDescent="0.2">
      <c r="A256">
        <v>59</v>
      </c>
      <c r="H256" s="13" t="s">
        <v>410</v>
      </c>
    </row>
    <row r="257" spans="1:8" x14ac:dyDescent="0.2">
      <c r="A257">
        <v>84</v>
      </c>
      <c r="H257" s="13" t="s">
        <v>291</v>
      </c>
    </row>
    <row r="258" spans="1:8" x14ac:dyDescent="0.2">
      <c r="A258">
        <v>64</v>
      </c>
      <c r="H258" s="13" t="s">
        <v>410</v>
      </c>
    </row>
    <row r="259" spans="1:8" x14ac:dyDescent="0.2">
      <c r="H259" s="13" t="s">
        <v>291</v>
      </c>
    </row>
    <row r="260" spans="1:8" x14ac:dyDescent="0.2">
      <c r="H260" s="13" t="s">
        <v>291</v>
      </c>
    </row>
    <row r="261" spans="1:8" x14ac:dyDescent="0.2">
      <c r="A261">
        <v>72</v>
      </c>
      <c r="H261" s="13" t="s">
        <v>410</v>
      </c>
    </row>
    <row r="262" spans="1:8" x14ac:dyDescent="0.2">
      <c r="A262">
        <v>63</v>
      </c>
      <c r="H262" s="13" t="s">
        <v>629</v>
      </c>
    </row>
    <row r="263" spans="1:8" x14ac:dyDescent="0.2">
      <c r="H263" s="13" t="s">
        <v>291</v>
      </c>
    </row>
    <row r="264" spans="1:8" x14ac:dyDescent="0.2">
      <c r="A264">
        <v>7</v>
      </c>
      <c r="H264" s="12" t="s">
        <v>410</v>
      </c>
    </row>
    <row r="265" spans="1:8" x14ac:dyDescent="0.2">
      <c r="A265">
        <v>81</v>
      </c>
      <c r="H265" s="13" t="s">
        <v>410</v>
      </c>
    </row>
    <row r="266" spans="1:8" x14ac:dyDescent="0.2">
      <c r="H266" s="13" t="s">
        <v>410</v>
      </c>
    </row>
    <row r="267" spans="1:8" x14ac:dyDescent="0.2">
      <c r="H267" s="13" t="s">
        <v>291</v>
      </c>
    </row>
    <row r="268" spans="1:8" x14ac:dyDescent="0.2">
      <c r="A268">
        <v>69</v>
      </c>
      <c r="H268" s="13" t="s">
        <v>291</v>
      </c>
    </row>
    <row r="269" spans="1:8" x14ac:dyDescent="0.2">
      <c r="H269" s="13" t="s">
        <v>291</v>
      </c>
    </row>
    <row r="270" spans="1:8" x14ac:dyDescent="0.2">
      <c r="A270">
        <v>81</v>
      </c>
      <c r="H270" s="47" t="s">
        <v>1183</v>
      </c>
    </row>
    <row r="271" spans="1:8" x14ac:dyDescent="0.2">
      <c r="H271" s="13" t="s">
        <v>65</v>
      </c>
    </row>
    <row r="272" spans="1:8" x14ac:dyDescent="0.2">
      <c r="A272">
        <v>57</v>
      </c>
      <c r="H272" s="13" t="s">
        <v>629</v>
      </c>
    </row>
    <row r="273" spans="1:8" x14ac:dyDescent="0.2">
      <c r="A273">
        <v>12</v>
      </c>
      <c r="H273" s="12" t="s">
        <v>410</v>
      </c>
    </row>
    <row r="274" spans="1:8" x14ac:dyDescent="0.2">
      <c r="H274" s="13" t="s">
        <v>291</v>
      </c>
    </row>
    <row r="275" spans="1:8" x14ac:dyDescent="0.2">
      <c r="A275">
        <v>56</v>
      </c>
      <c r="H275" s="13" t="s">
        <v>410</v>
      </c>
    </row>
    <row r="276" spans="1:8" x14ac:dyDescent="0.2">
      <c r="H276" s="13" t="s">
        <v>291</v>
      </c>
    </row>
    <row r="277" spans="1:8" x14ac:dyDescent="0.2">
      <c r="H277" s="13" t="s">
        <v>291</v>
      </c>
    </row>
    <row r="278" spans="1:8" x14ac:dyDescent="0.2">
      <c r="A278">
        <v>5</v>
      </c>
      <c r="H278" s="13" t="s">
        <v>1183</v>
      </c>
    </row>
    <row r="279" spans="1:8" x14ac:dyDescent="0.2">
      <c r="A279">
        <v>57</v>
      </c>
      <c r="H279" s="13" t="s">
        <v>291</v>
      </c>
    </row>
    <row r="280" spans="1:8" x14ac:dyDescent="0.2">
      <c r="H280" s="13" t="s">
        <v>291</v>
      </c>
    </row>
    <row r="281" spans="1:8" x14ac:dyDescent="0.2">
      <c r="A281">
        <v>12</v>
      </c>
      <c r="H281" s="13" t="s">
        <v>410</v>
      </c>
    </row>
    <row r="282" spans="1:8" x14ac:dyDescent="0.2">
      <c r="H282" s="13" t="s">
        <v>291</v>
      </c>
    </row>
    <row r="283" spans="1:8" x14ac:dyDescent="0.2">
      <c r="A283">
        <v>25</v>
      </c>
      <c r="H283" s="23" t="s">
        <v>410</v>
      </c>
    </row>
    <row r="284" spans="1:8" x14ac:dyDescent="0.2">
      <c r="H284" s="13" t="s">
        <v>410</v>
      </c>
    </row>
    <row r="285" spans="1:8" x14ac:dyDescent="0.2">
      <c r="H285" s="13" t="s">
        <v>1192</v>
      </c>
    </row>
    <row r="286" spans="1:8" x14ac:dyDescent="0.2">
      <c r="H286" s="13" t="s">
        <v>291</v>
      </c>
    </row>
    <row r="287" spans="1:8" x14ac:dyDescent="0.2">
      <c r="A287">
        <v>8</v>
      </c>
      <c r="H287" s="43"/>
    </row>
    <row r="288" spans="1:8" x14ac:dyDescent="0.2">
      <c r="A288">
        <v>67</v>
      </c>
      <c r="H288" s="13" t="s">
        <v>291</v>
      </c>
    </row>
    <row r="289" spans="1:8" x14ac:dyDescent="0.2">
      <c r="A289">
        <v>74</v>
      </c>
      <c r="H289" s="13" t="s">
        <v>291</v>
      </c>
    </row>
    <row r="290" spans="1:8" x14ac:dyDescent="0.2">
      <c r="A290">
        <v>9</v>
      </c>
      <c r="H290" s="23" t="s">
        <v>410</v>
      </c>
    </row>
    <row r="291" spans="1:8" x14ac:dyDescent="0.2">
      <c r="H291" s="13" t="s">
        <v>291</v>
      </c>
    </row>
    <row r="292" spans="1:8" x14ac:dyDescent="0.2">
      <c r="A292">
        <v>16</v>
      </c>
      <c r="H292" s="13" t="s">
        <v>629</v>
      </c>
    </row>
    <row r="293" spans="1:8" x14ac:dyDescent="0.2">
      <c r="A293">
        <v>59</v>
      </c>
      <c r="H293" s="12" t="s">
        <v>629</v>
      </c>
    </row>
    <row r="294" spans="1:8" x14ac:dyDescent="0.2">
      <c r="H294" s="13" t="s">
        <v>291</v>
      </c>
    </row>
    <row r="295" spans="1:8" x14ac:dyDescent="0.2">
      <c r="H295" s="13" t="s">
        <v>291</v>
      </c>
    </row>
    <row r="296" spans="1:8" x14ac:dyDescent="0.2">
      <c r="A296">
        <v>8</v>
      </c>
      <c r="H296" s="43"/>
    </row>
    <row r="297" spans="1:8" x14ac:dyDescent="0.2">
      <c r="A297">
        <v>39</v>
      </c>
      <c r="H297" s="13" t="s">
        <v>410</v>
      </c>
    </row>
    <row r="298" spans="1:8" x14ac:dyDescent="0.2">
      <c r="H298" s="13" t="s">
        <v>65</v>
      </c>
    </row>
    <row r="299" spans="1:8" x14ac:dyDescent="0.2">
      <c r="H299" s="13" t="s">
        <v>291</v>
      </c>
    </row>
    <row r="300" spans="1:8" x14ac:dyDescent="0.2">
      <c r="A300">
        <v>61</v>
      </c>
      <c r="H300" s="12" t="s">
        <v>410</v>
      </c>
    </row>
    <row r="301" spans="1:8" x14ac:dyDescent="0.2">
      <c r="A301">
        <v>59</v>
      </c>
      <c r="H301" s="13" t="s">
        <v>629</v>
      </c>
    </row>
    <row r="302" spans="1:8" x14ac:dyDescent="0.2">
      <c r="A302">
        <v>45</v>
      </c>
      <c r="H302" s="13" t="s">
        <v>766</v>
      </c>
    </row>
    <row r="303" spans="1:8" x14ac:dyDescent="0.2">
      <c r="H303" s="13" t="s">
        <v>291</v>
      </c>
    </row>
    <row r="304" spans="1:8" x14ac:dyDescent="0.2">
      <c r="A304">
        <v>54</v>
      </c>
      <c r="H304" s="12" t="s">
        <v>410</v>
      </c>
    </row>
    <row r="305" spans="1:8" x14ac:dyDescent="0.2">
      <c r="H305" s="13" t="s">
        <v>410</v>
      </c>
    </row>
    <row r="306" spans="1:8" x14ac:dyDescent="0.2">
      <c r="A306">
        <v>71</v>
      </c>
      <c r="H306" s="47" t="s">
        <v>410</v>
      </c>
    </row>
    <row r="307" spans="1:8" x14ac:dyDescent="0.2">
      <c r="H307" s="13" t="s">
        <v>291</v>
      </c>
    </row>
    <row r="308" spans="1:8" x14ac:dyDescent="0.2">
      <c r="A308">
        <v>3</v>
      </c>
      <c r="H308" s="13" t="s">
        <v>629</v>
      </c>
    </row>
    <row r="309" spans="1:8" x14ac:dyDescent="0.2">
      <c r="A309">
        <v>124</v>
      </c>
      <c r="H309" s="13" t="s">
        <v>410</v>
      </c>
    </row>
    <row r="310" spans="1:8" x14ac:dyDescent="0.2">
      <c r="A310">
        <v>65</v>
      </c>
      <c r="H310" s="13" t="s">
        <v>410</v>
      </c>
    </row>
    <row r="311" spans="1:8" x14ac:dyDescent="0.2">
      <c r="A311">
        <v>13</v>
      </c>
      <c r="H311" s="12" t="s">
        <v>410</v>
      </c>
    </row>
    <row r="312" spans="1:8" x14ac:dyDescent="0.2">
      <c r="A312">
        <v>62</v>
      </c>
      <c r="H312" s="12" t="s">
        <v>410</v>
      </c>
    </row>
    <row r="313" spans="1:8" x14ac:dyDescent="0.2">
      <c r="A313">
        <v>68</v>
      </c>
      <c r="H313" s="13" t="s">
        <v>410</v>
      </c>
    </row>
    <row r="314" spans="1:8" x14ac:dyDescent="0.2">
      <c r="A314">
        <v>66</v>
      </c>
      <c r="H314" s="13" t="s">
        <v>65</v>
      </c>
    </row>
    <row r="315" spans="1:8" x14ac:dyDescent="0.2">
      <c r="H315" s="13" t="s">
        <v>410</v>
      </c>
    </row>
    <row r="316" spans="1:8" x14ac:dyDescent="0.2">
      <c r="H316" s="13" t="s">
        <v>291</v>
      </c>
    </row>
    <row r="317" spans="1:8" x14ac:dyDescent="0.2">
      <c r="A317">
        <v>20</v>
      </c>
      <c r="H317" s="13"/>
    </row>
    <row r="318" spans="1:8" x14ac:dyDescent="0.2">
      <c r="H318" s="13" t="s">
        <v>45</v>
      </c>
    </row>
    <row r="319" spans="1:8" x14ac:dyDescent="0.2">
      <c r="H319" s="13" t="s">
        <v>291</v>
      </c>
    </row>
    <row r="320" spans="1:8" x14ac:dyDescent="0.2">
      <c r="A320">
        <v>14</v>
      </c>
      <c r="H320" s="98" t="s">
        <v>410</v>
      </c>
    </row>
    <row r="321" spans="1:8" x14ac:dyDescent="0.2">
      <c r="A321">
        <v>85</v>
      </c>
      <c r="H321" s="12" t="s">
        <v>979</v>
      </c>
    </row>
    <row r="322" spans="1:8" x14ac:dyDescent="0.2">
      <c r="H322" s="13" t="s">
        <v>291</v>
      </c>
    </row>
    <row r="323" spans="1:8" x14ac:dyDescent="0.2">
      <c r="A323">
        <v>23</v>
      </c>
      <c r="H323" s="23" t="s">
        <v>410</v>
      </c>
    </row>
    <row r="324" spans="1:8" ht="30" x14ac:dyDescent="0.2">
      <c r="A324">
        <v>47</v>
      </c>
      <c r="H324" s="23" t="s">
        <v>985</v>
      </c>
    </row>
    <row r="325" spans="1:8" x14ac:dyDescent="0.2">
      <c r="A325">
        <v>13</v>
      </c>
      <c r="H325" s="13" t="s">
        <v>65</v>
      </c>
    </row>
    <row r="326" spans="1:8" x14ac:dyDescent="0.2">
      <c r="A326">
        <v>77</v>
      </c>
      <c r="H326" s="12" t="s">
        <v>410</v>
      </c>
    </row>
    <row r="327" spans="1:8" x14ac:dyDescent="0.2">
      <c r="A327">
        <v>7</v>
      </c>
      <c r="H327" s="23" t="s">
        <v>1183</v>
      </c>
    </row>
    <row r="328" spans="1:8" x14ac:dyDescent="0.2">
      <c r="H328" s="13" t="s">
        <v>1192</v>
      </c>
    </row>
    <row r="329" spans="1:8" x14ac:dyDescent="0.2">
      <c r="A329">
        <v>124</v>
      </c>
      <c r="H329" s="13" t="s">
        <v>1183</v>
      </c>
    </row>
    <row r="330" spans="1:8" x14ac:dyDescent="0.2">
      <c r="H330" s="13" t="s">
        <v>291</v>
      </c>
    </row>
    <row r="331" spans="1:8" x14ac:dyDescent="0.2">
      <c r="H331" s="13" t="s">
        <v>291</v>
      </c>
    </row>
    <row r="332" spans="1:8" x14ac:dyDescent="0.2">
      <c r="A332">
        <v>9</v>
      </c>
      <c r="H332" s="13" t="s">
        <v>1183</v>
      </c>
    </row>
    <row r="333" spans="1:8" x14ac:dyDescent="0.2">
      <c r="A333">
        <v>124</v>
      </c>
      <c r="H333" s="13" t="s">
        <v>1183</v>
      </c>
    </row>
    <row r="334" spans="1:8" x14ac:dyDescent="0.2">
      <c r="H334" s="13" t="s">
        <v>1192</v>
      </c>
    </row>
    <row r="335" spans="1:8" x14ac:dyDescent="0.2">
      <c r="A335">
        <v>8</v>
      </c>
      <c r="H335" s="13" t="s">
        <v>1193</v>
      </c>
    </row>
    <row r="336" spans="1:8" x14ac:dyDescent="0.2">
      <c r="A336">
        <v>9</v>
      </c>
      <c r="H336" s="13" t="s">
        <v>1196</v>
      </c>
    </row>
    <row r="337" spans="1:8" x14ac:dyDescent="0.2">
      <c r="H337" s="13" t="s">
        <v>1192</v>
      </c>
    </row>
    <row r="338" spans="1:8" x14ac:dyDescent="0.2">
      <c r="A338">
        <v>10</v>
      </c>
      <c r="H338" s="12" t="s">
        <v>1183</v>
      </c>
    </row>
    <row r="339" spans="1:8" x14ac:dyDescent="0.2">
      <c r="H339" s="13" t="s">
        <v>1192</v>
      </c>
    </row>
    <row r="340" spans="1:8" x14ac:dyDescent="0.2">
      <c r="A340">
        <v>124</v>
      </c>
      <c r="H340" s="13" t="s">
        <v>1183</v>
      </c>
    </row>
    <row r="341" spans="1:8" x14ac:dyDescent="0.2">
      <c r="A341">
        <v>18</v>
      </c>
      <c r="H341" s="48" t="s">
        <v>1193</v>
      </c>
    </row>
    <row r="342" spans="1:8" x14ac:dyDescent="0.2">
      <c r="A342">
        <v>14</v>
      </c>
      <c r="H342" s="48" t="s">
        <v>1193</v>
      </c>
    </row>
    <row r="343" spans="1:8" x14ac:dyDescent="0.2">
      <c r="A343">
        <v>10</v>
      </c>
      <c r="H343" s="48" t="s">
        <v>1193</v>
      </c>
    </row>
    <row r="344" spans="1:8" x14ac:dyDescent="0.2">
      <c r="H344" s="13" t="s">
        <v>291</v>
      </c>
    </row>
    <row r="345" spans="1:8" x14ac:dyDescent="0.2">
      <c r="H345" s="13" t="s">
        <v>1192</v>
      </c>
    </row>
    <row r="346" spans="1:8" x14ac:dyDescent="0.2">
      <c r="A346">
        <v>45</v>
      </c>
      <c r="H346" s="13" t="s">
        <v>125</v>
      </c>
    </row>
    <row r="347" spans="1:8" x14ac:dyDescent="0.2">
      <c r="A347">
        <v>6</v>
      </c>
      <c r="H347" s="13" t="s">
        <v>1183</v>
      </c>
    </row>
    <row r="348" spans="1:8" x14ac:dyDescent="0.2">
      <c r="A348">
        <v>2</v>
      </c>
      <c r="H348" s="13" t="s">
        <v>1183</v>
      </c>
    </row>
    <row r="349" spans="1:8" x14ac:dyDescent="0.2">
      <c r="A349">
        <v>2</v>
      </c>
      <c r="H349" s="23" t="s">
        <v>1183</v>
      </c>
    </row>
    <row r="350" spans="1:8" x14ac:dyDescent="0.2">
      <c r="A350">
        <v>10</v>
      </c>
      <c r="H350" s="47" t="s">
        <v>1183</v>
      </c>
    </row>
    <row r="351" spans="1:8" x14ac:dyDescent="0.2">
      <c r="H351" s="13" t="s">
        <v>1190</v>
      </c>
    </row>
    <row r="352" spans="1:8" x14ac:dyDescent="0.2">
      <c r="H352" s="13" t="s">
        <v>291</v>
      </c>
    </row>
    <row r="353" spans="1:8" x14ac:dyDescent="0.2">
      <c r="A353">
        <v>15</v>
      </c>
      <c r="H353" s="13" t="s">
        <v>291</v>
      </c>
    </row>
    <row r="354" spans="1:8" x14ac:dyDescent="0.2">
      <c r="H354" s="13" t="s">
        <v>763</v>
      </c>
    </row>
    <row r="355" spans="1:8" x14ac:dyDescent="0.2">
      <c r="H355" s="13" t="s">
        <v>1192</v>
      </c>
    </row>
    <row r="356" spans="1:8" x14ac:dyDescent="0.2">
      <c r="H356" s="13" t="s">
        <v>1192</v>
      </c>
    </row>
    <row r="357" spans="1:8" x14ac:dyDescent="0.2">
      <c r="H357" s="13" t="s">
        <v>291</v>
      </c>
    </row>
    <row r="358" spans="1:8" x14ac:dyDescent="0.2">
      <c r="A358">
        <v>12</v>
      </c>
      <c r="H358" s="12" t="s">
        <v>1183</v>
      </c>
    </row>
    <row r="359" spans="1:8" x14ac:dyDescent="0.2">
      <c r="H359" s="13" t="s">
        <v>766</v>
      </c>
    </row>
    <row r="360" spans="1:8" x14ac:dyDescent="0.2">
      <c r="A360">
        <v>13</v>
      </c>
      <c r="H360" s="12" t="s">
        <v>1183</v>
      </c>
    </row>
    <row r="361" spans="1:8" x14ac:dyDescent="0.2">
      <c r="A361">
        <v>8</v>
      </c>
      <c r="H361" s="12" t="s">
        <v>1183</v>
      </c>
    </row>
    <row r="362" spans="1:8" x14ac:dyDescent="0.2">
      <c r="A362">
        <v>124</v>
      </c>
      <c r="H362" s="13" t="s">
        <v>1183</v>
      </c>
    </row>
    <row r="363" spans="1:8" x14ac:dyDescent="0.2">
      <c r="A363">
        <v>12</v>
      </c>
      <c r="H363" s="13" t="s">
        <v>1183</v>
      </c>
    </row>
    <row r="364" spans="1:8" x14ac:dyDescent="0.2">
      <c r="H364" s="13" t="s">
        <v>1192</v>
      </c>
    </row>
    <row r="365" spans="1:8" x14ac:dyDescent="0.2">
      <c r="A365">
        <v>17</v>
      </c>
      <c r="H365" s="12" t="s">
        <v>125</v>
      </c>
    </row>
    <row r="366" spans="1:8" x14ac:dyDescent="0.2">
      <c r="H366" s="13" t="s">
        <v>1192</v>
      </c>
    </row>
    <row r="367" spans="1:8" x14ac:dyDescent="0.2">
      <c r="A367">
        <v>19</v>
      </c>
      <c r="H367" s="13" t="s">
        <v>1192</v>
      </c>
    </row>
    <row r="368" spans="1:8" x14ac:dyDescent="0.2">
      <c r="H368" s="13" t="s">
        <v>1192</v>
      </c>
    </row>
    <row r="369" spans="1:8" x14ac:dyDescent="0.2">
      <c r="A369">
        <v>12</v>
      </c>
      <c r="H369" s="13" t="s">
        <v>1190</v>
      </c>
    </row>
    <row r="370" spans="1:8" x14ac:dyDescent="0.2">
      <c r="A370">
        <v>16</v>
      </c>
      <c r="H370" s="13" t="s">
        <v>1183</v>
      </c>
    </row>
    <row r="371" spans="1:8" x14ac:dyDescent="0.2">
      <c r="A371">
        <v>8</v>
      </c>
      <c r="H371" s="48" t="s">
        <v>1196</v>
      </c>
    </row>
    <row r="372" spans="1:8" x14ac:dyDescent="0.2">
      <c r="H372" s="13" t="s">
        <v>1192</v>
      </c>
    </row>
    <row r="373" spans="1:8" x14ac:dyDescent="0.2">
      <c r="H373" s="13" t="s">
        <v>1190</v>
      </c>
    </row>
    <row r="374" spans="1:8" x14ac:dyDescent="0.2">
      <c r="A374">
        <v>124</v>
      </c>
      <c r="H374" s="13" t="s">
        <v>1183</v>
      </c>
    </row>
    <row r="375" spans="1:8" x14ac:dyDescent="0.2">
      <c r="H375" s="13" t="s">
        <v>1192</v>
      </c>
    </row>
    <row r="376" spans="1:8" x14ac:dyDescent="0.2">
      <c r="H376" s="13" t="s">
        <v>1192</v>
      </c>
    </row>
    <row r="377" spans="1:8" x14ac:dyDescent="0.2">
      <c r="H377" s="13" t="s">
        <v>1192</v>
      </c>
    </row>
    <row r="378" spans="1:8" x14ac:dyDescent="0.2">
      <c r="A378">
        <v>9</v>
      </c>
      <c r="H378" s="98"/>
    </row>
    <row r="379" spans="1:8" x14ac:dyDescent="0.2">
      <c r="H379" s="13" t="s">
        <v>1192</v>
      </c>
    </row>
    <row r="380" spans="1:8" x14ac:dyDescent="0.2">
      <c r="A380">
        <v>42</v>
      </c>
      <c r="H380" s="13" t="s">
        <v>1183</v>
      </c>
    </row>
    <row r="381" spans="1:8" x14ac:dyDescent="0.2">
      <c r="A381">
        <v>8</v>
      </c>
      <c r="H381" s="12" t="s">
        <v>1183</v>
      </c>
    </row>
    <row r="382" spans="1:8" x14ac:dyDescent="0.2">
      <c r="A382">
        <v>1</v>
      </c>
      <c r="H382" s="12" t="s">
        <v>1183</v>
      </c>
    </row>
    <row r="383" spans="1:8" x14ac:dyDescent="0.2">
      <c r="A383">
        <v>13</v>
      </c>
      <c r="H383" s="13" t="s">
        <v>1183</v>
      </c>
    </row>
    <row r="384" spans="1:8" x14ac:dyDescent="0.2">
      <c r="A384">
        <v>49</v>
      </c>
      <c r="H384" s="12" t="s">
        <v>1183</v>
      </c>
    </row>
    <row r="385" spans="1:8" x14ac:dyDescent="0.2">
      <c r="H385" s="13" t="s">
        <v>1192</v>
      </c>
    </row>
    <row r="386" spans="1:8" x14ac:dyDescent="0.2">
      <c r="H386" s="13" t="s">
        <v>1192</v>
      </c>
    </row>
    <row r="387" spans="1:8" x14ac:dyDescent="0.2">
      <c r="H387" s="13" t="s">
        <v>291</v>
      </c>
    </row>
    <row r="388" spans="1:8" x14ac:dyDescent="0.2">
      <c r="H388" s="13" t="s">
        <v>1192</v>
      </c>
    </row>
    <row r="389" spans="1:8" x14ac:dyDescent="0.2">
      <c r="H389" s="13" t="s">
        <v>291</v>
      </c>
    </row>
    <row r="390" spans="1:8" x14ac:dyDescent="0.2">
      <c r="A390">
        <v>10</v>
      </c>
      <c r="H390" s="13" t="s">
        <v>1192</v>
      </c>
    </row>
    <row r="391" spans="1:8" x14ac:dyDescent="0.2">
      <c r="H391" s="13" t="s">
        <v>291</v>
      </c>
    </row>
    <row r="392" spans="1:8" x14ac:dyDescent="0.2">
      <c r="A392">
        <v>124</v>
      </c>
      <c r="H392" s="13" t="s">
        <v>1183</v>
      </c>
    </row>
    <row r="393" spans="1:8" x14ac:dyDescent="0.2">
      <c r="H393" s="13" t="s">
        <v>1192</v>
      </c>
    </row>
    <row r="394" spans="1:8" x14ac:dyDescent="0.2">
      <c r="H394" s="13" t="s">
        <v>1192</v>
      </c>
    </row>
    <row r="395" spans="1:8" x14ac:dyDescent="0.2">
      <c r="A395">
        <v>1</v>
      </c>
      <c r="H395" s="48" t="s">
        <v>1196</v>
      </c>
    </row>
    <row r="396" spans="1:8" x14ac:dyDescent="0.2">
      <c r="A396">
        <v>17</v>
      </c>
      <c r="H396" s="15" t="s">
        <v>1193</v>
      </c>
    </row>
    <row r="397" spans="1:8" x14ac:dyDescent="0.2">
      <c r="A397">
        <v>15</v>
      </c>
      <c r="H397" s="15" t="s">
        <v>1193</v>
      </c>
    </row>
    <row r="398" spans="1:8" x14ac:dyDescent="0.2">
      <c r="A398">
        <v>11</v>
      </c>
      <c r="H398" s="15" t="s">
        <v>1193</v>
      </c>
    </row>
    <row r="399" spans="1:8" x14ac:dyDescent="0.2">
      <c r="A399">
        <v>8</v>
      </c>
      <c r="H399" s="13" t="s">
        <v>1193</v>
      </c>
    </row>
    <row r="400" spans="1:8" x14ac:dyDescent="0.2">
      <c r="A400">
        <v>40</v>
      </c>
      <c r="H400" s="47" t="s">
        <v>629</v>
      </c>
    </row>
    <row r="401" spans="1:8" x14ac:dyDescent="0.2">
      <c r="A401">
        <v>9</v>
      </c>
      <c r="H401" s="13" t="s">
        <v>125</v>
      </c>
    </row>
    <row r="402" spans="1:8" x14ac:dyDescent="0.2">
      <c r="H402" s="13" t="s">
        <v>65</v>
      </c>
    </row>
    <row r="403" spans="1:8" x14ac:dyDescent="0.2">
      <c r="H403" s="13" t="s">
        <v>291</v>
      </c>
    </row>
    <row r="404" spans="1:8" x14ac:dyDescent="0.2">
      <c r="A404">
        <v>11</v>
      </c>
      <c r="H404" s="12" t="s">
        <v>410</v>
      </c>
    </row>
    <row r="405" spans="1:8" x14ac:dyDescent="0.2">
      <c r="H405" s="13" t="s">
        <v>291</v>
      </c>
    </row>
    <row r="406" spans="1:8" x14ac:dyDescent="0.2">
      <c r="A406">
        <v>85</v>
      </c>
      <c r="H406" s="13" t="s">
        <v>766</v>
      </c>
    </row>
    <row r="407" spans="1:8" x14ac:dyDescent="0.2">
      <c r="A407">
        <v>21</v>
      </c>
      <c r="H407" s="12" t="s">
        <v>410</v>
      </c>
    </row>
    <row r="408" spans="1:8" x14ac:dyDescent="0.2">
      <c r="A408">
        <v>39</v>
      </c>
      <c r="H408" s="47" t="s">
        <v>629</v>
      </c>
    </row>
    <row r="409" spans="1:8" x14ac:dyDescent="0.2">
      <c r="A409">
        <v>65</v>
      </c>
      <c r="H409" s="13" t="s">
        <v>1196</v>
      </c>
    </row>
    <row r="410" spans="1:8" x14ac:dyDescent="0.2">
      <c r="A410">
        <v>60</v>
      </c>
      <c r="H410" s="13" t="s">
        <v>410</v>
      </c>
    </row>
    <row r="411" spans="1:8" x14ac:dyDescent="0.2">
      <c r="H411" s="13" t="s">
        <v>291</v>
      </c>
    </row>
    <row r="412" spans="1:8" x14ac:dyDescent="0.2">
      <c r="A412">
        <v>1</v>
      </c>
      <c r="H412" s="12" t="s">
        <v>410</v>
      </c>
    </row>
    <row r="413" spans="1:8" x14ac:dyDescent="0.2">
      <c r="H413" s="13" t="s">
        <v>65</v>
      </c>
    </row>
    <row r="414" spans="1:8" x14ac:dyDescent="0.2">
      <c r="A414">
        <v>6</v>
      </c>
      <c r="H414" s="48" t="s">
        <v>1193</v>
      </c>
    </row>
    <row r="415" spans="1:8" x14ac:dyDescent="0.2">
      <c r="A415">
        <v>1</v>
      </c>
      <c r="H415" s="13" t="s">
        <v>1193</v>
      </c>
    </row>
  </sheetData>
  <autoFilter ref="H1:H437" xr:uid="{C1C42CA3-979C-43F8-AD9A-419206EB1DA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00"/>
  <sheetViews>
    <sheetView workbookViewId="0"/>
  </sheetViews>
  <sheetFormatPr baseColWidth="10" defaultColWidth="11.1640625" defaultRowHeight="15" customHeight="1" x14ac:dyDescent="0.2"/>
  <cols>
    <col min="1" max="1" width="21.83203125" customWidth="1"/>
    <col min="2" max="2" width="10.33203125" customWidth="1"/>
    <col min="3" max="3" width="7.1640625" customWidth="1"/>
    <col min="4" max="4" width="8.6640625" customWidth="1"/>
    <col min="5" max="5" width="3.6640625" customWidth="1"/>
    <col min="6" max="7" width="4.1640625" customWidth="1"/>
    <col min="8" max="8" width="5.83203125" customWidth="1"/>
    <col min="9" max="9" width="8.33203125" customWidth="1"/>
    <col min="10" max="10" width="8.83203125" customWidth="1"/>
    <col min="11" max="11" width="9" customWidth="1"/>
    <col min="12" max="13" width="8.1640625" customWidth="1"/>
    <col min="14" max="14" width="8.6640625" customWidth="1"/>
    <col min="15" max="15" width="6.33203125" customWidth="1"/>
    <col min="16" max="16" width="4.5" customWidth="1"/>
    <col min="17" max="17" width="5" customWidth="1"/>
    <col min="18" max="18" width="5.33203125" customWidth="1"/>
    <col min="19" max="19" width="18" customWidth="1"/>
    <col min="20" max="20" width="12.6640625" customWidth="1"/>
    <col min="21" max="21" width="25.5" customWidth="1"/>
    <col min="22" max="26" width="8.5" customWidth="1"/>
  </cols>
  <sheetData>
    <row r="1" spans="1:21" ht="16" x14ac:dyDescent="0.2">
      <c r="A1" s="16" t="s">
        <v>138</v>
      </c>
      <c r="B1" s="16" t="s">
        <v>159</v>
      </c>
      <c r="C1" s="41" t="s">
        <v>1924</v>
      </c>
      <c r="D1" s="41" t="s">
        <v>1925</v>
      </c>
      <c r="E1" s="41" t="s">
        <v>1926</v>
      </c>
      <c r="F1" s="41" t="s">
        <v>1927</v>
      </c>
      <c r="G1" s="41" t="s">
        <v>1928</v>
      </c>
      <c r="H1" s="41" t="s">
        <v>1929</v>
      </c>
      <c r="I1" s="41" t="s">
        <v>1930</v>
      </c>
      <c r="J1" s="16" t="s">
        <v>1931</v>
      </c>
      <c r="K1" s="16" t="s">
        <v>1932</v>
      </c>
      <c r="L1" s="16" t="s">
        <v>1933</v>
      </c>
      <c r="M1" s="16" t="s">
        <v>1934</v>
      </c>
      <c r="N1" s="16" t="s">
        <v>1935</v>
      </c>
      <c r="O1" s="16" t="s">
        <v>1936</v>
      </c>
      <c r="P1" s="16" t="s">
        <v>1937</v>
      </c>
      <c r="Q1" s="16" t="s">
        <v>1938</v>
      </c>
      <c r="R1" s="16" t="s">
        <v>1939</v>
      </c>
      <c r="S1" s="16" t="s">
        <v>1940</v>
      </c>
      <c r="T1" s="16" t="s">
        <v>1941</v>
      </c>
      <c r="U1" s="16" t="s">
        <v>1942</v>
      </c>
    </row>
    <row r="2" spans="1:21" ht="16" x14ac:dyDescent="0.2">
      <c r="A2" s="17" t="s">
        <v>1201</v>
      </c>
      <c r="B2" s="13"/>
      <c r="C2" s="13">
        <v>4</v>
      </c>
      <c r="D2" s="13"/>
      <c r="E2" s="13"/>
      <c r="F2" s="13"/>
      <c r="G2" s="18"/>
      <c r="H2" s="18"/>
      <c r="I2" s="13"/>
      <c r="J2" s="13"/>
      <c r="K2" s="18"/>
      <c r="L2" s="13"/>
      <c r="M2" s="13"/>
      <c r="N2" s="13"/>
      <c r="O2" s="13"/>
      <c r="P2" s="13"/>
      <c r="Q2" s="13"/>
      <c r="R2" s="13"/>
      <c r="S2" s="13"/>
      <c r="T2" s="13"/>
      <c r="U2" s="13"/>
    </row>
    <row r="3" spans="1:21" ht="16" x14ac:dyDescent="0.2">
      <c r="A3" s="17" t="s">
        <v>726</v>
      </c>
      <c r="B3" s="13"/>
      <c r="C3" s="13">
        <v>4</v>
      </c>
      <c r="D3" s="13"/>
      <c r="E3" s="13"/>
      <c r="F3" s="13"/>
      <c r="G3" s="18"/>
      <c r="H3" s="18"/>
      <c r="I3" s="13"/>
      <c r="J3" s="13"/>
      <c r="K3" s="18"/>
      <c r="L3" s="13"/>
      <c r="M3" s="13"/>
      <c r="N3" s="13"/>
      <c r="O3" s="13"/>
      <c r="P3" s="13"/>
      <c r="Q3" s="13"/>
      <c r="R3" s="13"/>
      <c r="S3" s="13"/>
      <c r="T3" s="13"/>
      <c r="U3" s="13"/>
    </row>
    <row r="4" spans="1:21" ht="16" x14ac:dyDescent="0.2">
      <c r="A4" s="17" t="s">
        <v>735</v>
      </c>
      <c r="B4" s="13"/>
      <c r="C4" s="13">
        <v>3</v>
      </c>
      <c r="D4" s="13"/>
      <c r="E4" s="13"/>
      <c r="F4" s="13"/>
      <c r="G4" s="18"/>
      <c r="H4" s="18"/>
      <c r="I4" s="13"/>
      <c r="J4" s="13"/>
      <c r="K4" s="18"/>
      <c r="L4" s="13"/>
      <c r="M4" s="13"/>
      <c r="N4" s="13"/>
      <c r="O4" s="13"/>
      <c r="P4" s="13"/>
      <c r="Q4" s="13"/>
      <c r="R4" s="13"/>
      <c r="S4" s="13"/>
      <c r="T4" s="13"/>
      <c r="U4" s="13"/>
    </row>
    <row r="5" spans="1:21" ht="16" x14ac:dyDescent="0.2">
      <c r="A5" s="17" t="s">
        <v>1842</v>
      </c>
      <c r="B5" s="13"/>
      <c r="C5" s="13"/>
      <c r="D5" s="13"/>
      <c r="E5" s="13"/>
      <c r="F5" s="13"/>
      <c r="G5" s="13"/>
      <c r="H5" s="13"/>
      <c r="I5" s="13"/>
      <c r="J5" s="13"/>
      <c r="K5" s="13"/>
      <c r="L5" s="13"/>
      <c r="M5" s="13"/>
      <c r="N5" s="13"/>
      <c r="O5" s="13"/>
      <c r="P5" s="13"/>
      <c r="Q5" s="13"/>
      <c r="R5" s="13"/>
      <c r="S5" s="13"/>
      <c r="T5" s="13"/>
      <c r="U5" s="13"/>
    </row>
    <row r="6" spans="1:21" ht="16" x14ac:dyDescent="0.2">
      <c r="A6" s="17" t="s">
        <v>1598</v>
      </c>
      <c r="B6" s="13"/>
      <c r="C6" s="13"/>
      <c r="D6" s="13"/>
      <c r="E6" s="13"/>
      <c r="F6" s="13"/>
      <c r="G6" s="13"/>
      <c r="H6" s="13"/>
      <c r="I6" s="13"/>
      <c r="J6" s="13"/>
      <c r="K6" s="13"/>
      <c r="L6" s="13"/>
      <c r="M6" s="13"/>
      <c r="N6" s="13"/>
      <c r="O6" s="13"/>
      <c r="P6" s="13"/>
      <c r="Q6" s="13"/>
      <c r="R6" s="13"/>
      <c r="S6" s="13"/>
      <c r="T6" s="13"/>
      <c r="U6" s="13"/>
    </row>
    <row r="7" spans="1:21" ht="16" x14ac:dyDescent="0.2">
      <c r="A7" s="17" t="s">
        <v>909</v>
      </c>
      <c r="B7" s="13"/>
      <c r="C7" s="13"/>
      <c r="D7" s="13"/>
      <c r="E7" s="13"/>
      <c r="F7" s="13"/>
      <c r="G7" s="13"/>
      <c r="H7" s="13"/>
      <c r="I7" s="13"/>
      <c r="J7" s="13"/>
      <c r="K7" s="13"/>
      <c r="L7" s="13"/>
      <c r="M7" s="13"/>
      <c r="N7" s="13"/>
      <c r="O7" s="13"/>
      <c r="P7" s="13"/>
      <c r="Q7" s="13"/>
      <c r="R7" s="13"/>
      <c r="S7" s="13"/>
      <c r="T7" s="13"/>
      <c r="U7" s="13"/>
    </row>
    <row r="8" spans="1:21" ht="16" x14ac:dyDescent="0.2">
      <c r="A8" s="17" t="s">
        <v>1069</v>
      </c>
      <c r="B8" s="13"/>
      <c r="C8" s="13"/>
      <c r="D8" s="13"/>
      <c r="E8" s="13"/>
      <c r="F8" s="13"/>
      <c r="G8" s="13"/>
      <c r="H8" s="13"/>
      <c r="I8" s="13"/>
      <c r="J8" s="13"/>
      <c r="K8" s="13"/>
      <c r="L8" s="13"/>
      <c r="M8" s="13"/>
      <c r="N8" s="13"/>
      <c r="O8" s="13"/>
      <c r="P8" s="13"/>
      <c r="Q8" s="13"/>
      <c r="R8" s="13"/>
      <c r="S8" s="13"/>
      <c r="T8" s="13"/>
      <c r="U8" s="13"/>
    </row>
    <row r="9" spans="1:21" ht="16" x14ac:dyDescent="0.2">
      <c r="A9" s="17" t="s">
        <v>1897</v>
      </c>
      <c r="B9" s="13"/>
      <c r="C9" s="13"/>
      <c r="D9" s="13"/>
      <c r="E9" s="13"/>
      <c r="F9" s="13"/>
      <c r="G9" s="13"/>
      <c r="H9" s="13"/>
      <c r="I9" s="13"/>
      <c r="J9" s="13"/>
      <c r="K9" s="13"/>
      <c r="L9" s="13"/>
      <c r="M9" s="13"/>
      <c r="N9" s="13"/>
      <c r="O9" s="13"/>
      <c r="P9" s="13"/>
      <c r="Q9" s="13"/>
      <c r="R9" s="13"/>
      <c r="S9" s="13"/>
      <c r="T9" s="13"/>
      <c r="U9" s="13"/>
    </row>
    <row r="10" spans="1:21" ht="16" x14ac:dyDescent="0.2">
      <c r="A10" s="19" t="s">
        <v>1200</v>
      </c>
      <c r="B10" s="13"/>
      <c r="C10" s="13">
        <v>4</v>
      </c>
      <c r="D10" s="13"/>
      <c r="E10" s="13"/>
      <c r="F10" s="13"/>
      <c r="G10" s="13"/>
      <c r="H10" s="13"/>
      <c r="I10" s="13"/>
      <c r="J10" s="13"/>
      <c r="K10" s="13"/>
      <c r="L10" s="13"/>
      <c r="M10" s="13"/>
      <c r="N10" s="13"/>
      <c r="O10" s="13"/>
      <c r="P10" s="13"/>
      <c r="Q10" s="13" t="s">
        <v>1943</v>
      </c>
      <c r="R10" s="13"/>
      <c r="S10" s="13" t="s">
        <v>1943</v>
      </c>
      <c r="T10" s="13"/>
      <c r="U10" s="13"/>
    </row>
    <row r="11" spans="1:21" ht="16" x14ac:dyDescent="0.2">
      <c r="A11" s="19" t="s">
        <v>712</v>
      </c>
      <c r="B11" s="13"/>
      <c r="C11" s="13">
        <v>2</v>
      </c>
      <c r="D11" s="13"/>
      <c r="E11" s="13"/>
      <c r="F11" s="13"/>
      <c r="G11" s="20"/>
      <c r="H11" s="20"/>
      <c r="I11" s="13"/>
      <c r="J11" s="13"/>
      <c r="K11" s="13"/>
      <c r="L11" s="13" t="s">
        <v>1944</v>
      </c>
      <c r="M11" s="13"/>
      <c r="N11" s="13" t="s">
        <v>1945</v>
      </c>
      <c r="O11" s="13"/>
      <c r="P11" s="13" t="s">
        <v>1945</v>
      </c>
      <c r="Q11" s="13"/>
      <c r="R11" s="13" t="s">
        <v>1946</v>
      </c>
      <c r="S11" s="13"/>
      <c r="T11" s="13" t="s">
        <v>1946</v>
      </c>
      <c r="U11" s="13"/>
    </row>
    <row r="12" spans="1:21" ht="16" x14ac:dyDescent="0.2">
      <c r="A12" s="19" t="s">
        <v>1584</v>
      </c>
      <c r="B12" s="13" t="s">
        <v>1585</v>
      </c>
      <c r="C12" s="13">
        <v>3</v>
      </c>
      <c r="D12" s="13"/>
      <c r="E12" s="13"/>
      <c r="F12" s="13" t="s">
        <v>1947</v>
      </c>
      <c r="G12" s="13"/>
      <c r="H12" s="13" t="s">
        <v>1948</v>
      </c>
      <c r="I12" s="13"/>
      <c r="J12" s="13" t="s">
        <v>1949</v>
      </c>
      <c r="K12" s="13"/>
      <c r="L12" s="13" t="s">
        <v>1950</v>
      </c>
      <c r="M12" s="13"/>
      <c r="N12" s="13" t="s">
        <v>1951</v>
      </c>
      <c r="O12" s="13"/>
      <c r="P12" s="13" t="s">
        <v>1952</v>
      </c>
      <c r="Q12" s="13"/>
      <c r="R12" s="13" t="s">
        <v>1953</v>
      </c>
      <c r="S12" s="13"/>
      <c r="T12" s="13" t="s">
        <v>1954</v>
      </c>
      <c r="U12" s="13"/>
    </row>
    <row r="13" spans="1:21" ht="16" x14ac:dyDescent="0.2">
      <c r="A13" s="21" t="s">
        <v>1905</v>
      </c>
      <c r="B13" s="13" t="s">
        <v>1906</v>
      </c>
      <c r="C13" s="13">
        <v>3</v>
      </c>
      <c r="D13" s="13"/>
      <c r="E13" s="13"/>
      <c r="F13" s="13" t="s">
        <v>1955</v>
      </c>
      <c r="G13" s="13"/>
      <c r="H13" s="13" t="s">
        <v>1955</v>
      </c>
      <c r="I13" s="13"/>
      <c r="J13" s="13" t="s">
        <v>1956</v>
      </c>
      <c r="K13" s="13"/>
      <c r="L13" s="13" t="s">
        <v>1956</v>
      </c>
      <c r="M13" s="13"/>
      <c r="N13" s="20" t="s">
        <v>1957</v>
      </c>
      <c r="O13" s="13"/>
      <c r="P13" s="20" t="s">
        <v>1957</v>
      </c>
      <c r="Q13" s="20"/>
      <c r="R13" s="20" t="s">
        <v>1958</v>
      </c>
      <c r="S13" s="20"/>
      <c r="T13" s="13" t="s">
        <v>1959</v>
      </c>
      <c r="U13" s="13"/>
    </row>
    <row r="14" spans="1:21" ht="16" x14ac:dyDescent="0.2">
      <c r="A14" s="21" t="s">
        <v>1505</v>
      </c>
      <c r="B14" s="13" t="s">
        <v>1506</v>
      </c>
      <c r="C14" s="13">
        <v>1</v>
      </c>
      <c r="D14" s="13"/>
      <c r="E14" s="13"/>
      <c r="F14" s="13" t="s">
        <v>1960</v>
      </c>
      <c r="G14" s="13"/>
      <c r="H14" s="13" t="s">
        <v>1960</v>
      </c>
      <c r="I14" s="13"/>
      <c r="J14" s="13" t="s">
        <v>1961</v>
      </c>
      <c r="K14" s="13"/>
      <c r="L14" s="13" t="s">
        <v>1962</v>
      </c>
      <c r="M14" s="13"/>
      <c r="N14" s="13" t="s">
        <v>1963</v>
      </c>
      <c r="O14" s="13"/>
      <c r="P14" s="20" t="s">
        <v>1964</v>
      </c>
      <c r="Q14" s="13"/>
      <c r="R14" s="13" t="s">
        <v>1965</v>
      </c>
      <c r="S14" s="20"/>
      <c r="T14" s="13" t="s">
        <v>1965</v>
      </c>
      <c r="U14" s="13"/>
    </row>
    <row r="15" spans="1:21" ht="16" x14ac:dyDescent="0.2">
      <c r="A15" s="19" t="s">
        <v>1481</v>
      </c>
      <c r="B15" s="13" t="s">
        <v>1966</v>
      </c>
      <c r="C15" s="13">
        <v>4</v>
      </c>
      <c r="D15" s="13"/>
      <c r="E15" s="13"/>
      <c r="F15" s="13" t="s">
        <v>1967</v>
      </c>
      <c r="G15" s="13"/>
      <c r="H15" s="13" t="s">
        <v>1968</v>
      </c>
      <c r="I15" s="13"/>
      <c r="J15" s="13" t="s">
        <v>1969</v>
      </c>
      <c r="K15" s="13"/>
      <c r="L15" s="13" t="s">
        <v>1970</v>
      </c>
      <c r="M15" s="13"/>
      <c r="N15" s="20" t="s">
        <v>1971</v>
      </c>
      <c r="O15" s="13"/>
      <c r="P15" s="20" t="s">
        <v>1972</v>
      </c>
      <c r="Q15" s="20"/>
      <c r="R15" s="20" t="s">
        <v>1973</v>
      </c>
      <c r="S15" s="20" t="s">
        <v>1974</v>
      </c>
      <c r="T15" s="20" t="s">
        <v>1973</v>
      </c>
      <c r="U15" s="20"/>
    </row>
    <row r="16" spans="1:21" ht="16" x14ac:dyDescent="0.2">
      <c r="A16" s="21" t="s">
        <v>1840</v>
      </c>
      <c r="B16" s="13" t="s">
        <v>1841</v>
      </c>
      <c r="C16" s="13">
        <v>6</v>
      </c>
      <c r="D16" s="13"/>
      <c r="E16" s="13"/>
      <c r="F16" s="13"/>
      <c r="G16" s="20"/>
      <c r="H16" s="20"/>
      <c r="I16" s="13"/>
      <c r="J16" s="13" t="s">
        <v>1975</v>
      </c>
      <c r="K16" s="13"/>
      <c r="L16" s="13" t="s">
        <v>1976</v>
      </c>
      <c r="M16" s="13"/>
      <c r="N16" s="13" t="s">
        <v>1976</v>
      </c>
      <c r="O16" s="13" t="s">
        <v>1977</v>
      </c>
      <c r="P16" s="13" t="s">
        <v>1978</v>
      </c>
      <c r="Q16" s="13"/>
      <c r="R16" s="13" t="s">
        <v>1979</v>
      </c>
      <c r="S16" s="13" t="s">
        <v>1980</v>
      </c>
      <c r="T16" s="13"/>
      <c r="U16" s="13" t="s">
        <v>1981</v>
      </c>
    </row>
    <row r="17" spans="1:21" ht="16" x14ac:dyDescent="0.2">
      <c r="A17" s="21" t="s">
        <v>1982</v>
      </c>
      <c r="B17" s="13"/>
      <c r="C17" s="13">
        <v>3</v>
      </c>
      <c r="D17" s="13"/>
      <c r="E17" s="13"/>
      <c r="F17" s="13"/>
      <c r="G17" s="13"/>
      <c r="H17" s="13"/>
      <c r="I17" s="13"/>
      <c r="J17" s="13"/>
      <c r="K17" s="13"/>
      <c r="L17" s="13"/>
      <c r="M17" s="13"/>
      <c r="N17" s="13"/>
      <c r="O17" s="13"/>
      <c r="P17" s="13"/>
      <c r="Q17" s="20" t="s">
        <v>1983</v>
      </c>
      <c r="R17" s="13"/>
      <c r="S17" s="20" t="s">
        <v>1983</v>
      </c>
      <c r="T17" s="20"/>
      <c r="U17" s="20"/>
    </row>
    <row r="18" spans="1:21" ht="16" x14ac:dyDescent="0.2">
      <c r="A18" s="21" t="s">
        <v>725</v>
      </c>
      <c r="B18" s="13"/>
      <c r="C18" s="13">
        <v>3</v>
      </c>
      <c r="D18" s="13"/>
      <c r="E18" s="13"/>
      <c r="F18" s="13"/>
      <c r="G18" s="13"/>
      <c r="H18" s="13"/>
      <c r="I18" s="13"/>
      <c r="J18" s="13"/>
      <c r="K18" s="13"/>
      <c r="L18" s="13"/>
      <c r="M18" s="13"/>
      <c r="N18" s="13"/>
      <c r="O18" s="13"/>
      <c r="P18" s="13"/>
      <c r="Q18" s="20" t="s">
        <v>1984</v>
      </c>
      <c r="R18" s="13" t="s">
        <v>1985</v>
      </c>
      <c r="S18" s="13"/>
      <c r="T18" s="13" t="s">
        <v>1985</v>
      </c>
      <c r="U18" s="13"/>
    </row>
    <row r="19" spans="1:21" ht="16" x14ac:dyDescent="0.2">
      <c r="A19" s="21" t="s">
        <v>1862</v>
      </c>
      <c r="B19" s="13" t="s">
        <v>1863</v>
      </c>
      <c r="C19" s="13">
        <v>5</v>
      </c>
      <c r="D19" s="13"/>
      <c r="E19" s="13"/>
      <c r="F19" s="13"/>
      <c r="G19" s="13" t="s">
        <v>1986</v>
      </c>
      <c r="H19" s="20"/>
      <c r="I19" s="13" t="s">
        <v>1987</v>
      </c>
      <c r="J19" s="13"/>
      <c r="K19" s="13" t="s">
        <v>1988</v>
      </c>
      <c r="L19" s="20" t="s">
        <v>1989</v>
      </c>
      <c r="M19" s="13"/>
      <c r="N19" s="20"/>
      <c r="O19" s="13" t="s">
        <v>1990</v>
      </c>
      <c r="P19" s="13" t="s">
        <v>1991</v>
      </c>
      <c r="Q19" s="13"/>
      <c r="R19" s="20" t="s">
        <v>1992</v>
      </c>
      <c r="S19" s="13"/>
      <c r="T19" s="20" t="s">
        <v>1992</v>
      </c>
      <c r="U19" s="20"/>
    </row>
    <row r="20" spans="1:21" ht="16" x14ac:dyDescent="0.2">
      <c r="A20" s="21" t="s">
        <v>1876</v>
      </c>
      <c r="B20" s="13" t="s">
        <v>1877</v>
      </c>
      <c r="C20" s="13">
        <v>3</v>
      </c>
      <c r="D20" s="13"/>
      <c r="E20" s="13"/>
      <c r="F20" s="13" t="s">
        <v>1993</v>
      </c>
      <c r="G20" s="20"/>
      <c r="H20" s="13" t="s">
        <v>1994</v>
      </c>
      <c r="I20" s="13"/>
      <c r="J20" s="13" t="s">
        <v>1995</v>
      </c>
      <c r="K20" s="13"/>
      <c r="L20" s="13" t="s">
        <v>1996</v>
      </c>
      <c r="M20" s="13"/>
      <c r="N20" s="13" t="s">
        <v>1997</v>
      </c>
      <c r="O20" s="13"/>
      <c r="P20" s="13" t="s">
        <v>1998</v>
      </c>
      <c r="Q20" s="13"/>
      <c r="R20" s="13" t="s">
        <v>1999</v>
      </c>
      <c r="S20" s="13"/>
      <c r="T20" s="13" t="s">
        <v>2000</v>
      </c>
      <c r="U20" s="13"/>
    </row>
    <row r="21" spans="1:21" ht="15.75" customHeight="1" x14ac:dyDescent="0.2">
      <c r="A21" s="21" t="s">
        <v>1898</v>
      </c>
      <c r="B21" s="13">
        <v>16134</v>
      </c>
      <c r="C21" s="13">
        <v>3</v>
      </c>
      <c r="D21" s="13"/>
      <c r="E21" s="13"/>
      <c r="F21" s="13" t="s">
        <v>1993</v>
      </c>
      <c r="G21" s="20"/>
      <c r="H21" s="20" t="s">
        <v>2001</v>
      </c>
      <c r="I21" s="13"/>
      <c r="J21" s="13" t="s">
        <v>2002</v>
      </c>
      <c r="K21" s="20"/>
      <c r="L21" s="13" t="s">
        <v>1996</v>
      </c>
      <c r="M21" s="13"/>
      <c r="N21" s="13" t="s">
        <v>2003</v>
      </c>
      <c r="O21" s="13"/>
      <c r="P21" s="13" t="s">
        <v>1998</v>
      </c>
      <c r="Q21" s="13"/>
      <c r="R21" s="13" t="s">
        <v>1999</v>
      </c>
      <c r="S21" s="13"/>
      <c r="T21" s="13" t="s">
        <v>2004</v>
      </c>
      <c r="U21" s="13"/>
    </row>
    <row r="22" spans="1:21" ht="15.75" customHeight="1" x14ac:dyDescent="0.2">
      <c r="A22" s="21" t="s">
        <v>1521</v>
      </c>
      <c r="B22" s="13" t="s">
        <v>1522</v>
      </c>
      <c r="C22" s="13">
        <v>4</v>
      </c>
      <c r="D22" s="13"/>
      <c r="E22" s="13"/>
      <c r="F22" s="13" t="s">
        <v>2005</v>
      </c>
      <c r="G22" s="20"/>
      <c r="H22" s="20" t="s">
        <v>2001</v>
      </c>
      <c r="I22" s="13"/>
      <c r="J22" s="13" t="s">
        <v>1995</v>
      </c>
      <c r="K22" s="20"/>
      <c r="L22" s="20" t="s">
        <v>2006</v>
      </c>
      <c r="M22" s="13"/>
      <c r="N22" s="13" t="s">
        <v>2007</v>
      </c>
      <c r="O22" s="13"/>
      <c r="P22" s="13" t="s">
        <v>1998</v>
      </c>
      <c r="Q22" s="13"/>
      <c r="R22" s="20" t="s">
        <v>2008</v>
      </c>
      <c r="S22" s="13"/>
      <c r="T22" s="13" t="s">
        <v>2004</v>
      </c>
      <c r="U22" s="20"/>
    </row>
    <row r="23" spans="1:21" ht="15.75" customHeight="1" x14ac:dyDescent="0.2">
      <c r="A23" s="21" t="s">
        <v>1517</v>
      </c>
      <c r="B23" s="13" t="s">
        <v>1518</v>
      </c>
      <c r="C23" s="13">
        <v>1</v>
      </c>
      <c r="D23" s="13"/>
      <c r="E23" s="13"/>
      <c r="F23" s="13" t="s">
        <v>2009</v>
      </c>
      <c r="G23" s="20"/>
      <c r="H23" s="13" t="s">
        <v>2010</v>
      </c>
      <c r="I23" s="13"/>
      <c r="J23" s="13" t="s">
        <v>1995</v>
      </c>
      <c r="K23" s="13"/>
      <c r="L23" s="20" t="s">
        <v>2006</v>
      </c>
      <c r="M23" s="13"/>
      <c r="N23" s="13" t="s">
        <v>2003</v>
      </c>
      <c r="O23" s="13"/>
      <c r="P23" s="13" t="s">
        <v>1998</v>
      </c>
      <c r="Q23" s="13"/>
      <c r="R23" s="20" t="s">
        <v>2011</v>
      </c>
      <c r="S23" s="13"/>
      <c r="T23" s="13" t="s">
        <v>2000</v>
      </c>
      <c r="U23" s="20"/>
    </row>
    <row r="24" spans="1:21" ht="15.75" customHeight="1" x14ac:dyDescent="0.2">
      <c r="A24" s="21" t="s">
        <v>721</v>
      </c>
      <c r="B24" s="13" t="s">
        <v>722</v>
      </c>
      <c r="C24" s="13">
        <v>1</v>
      </c>
      <c r="D24" s="13"/>
      <c r="E24" s="13"/>
      <c r="F24" s="13" t="s">
        <v>2012</v>
      </c>
      <c r="G24" s="20"/>
      <c r="H24" s="13" t="s">
        <v>2013</v>
      </c>
      <c r="I24" s="13"/>
      <c r="J24" s="13" t="s">
        <v>2014</v>
      </c>
      <c r="K24" s="13"/>
      <c r="L24" s="20" t="s">
        <v>2006</v>
      </c>
      <c r="M24" s="13"/>
      <c r="N24" s="13" t="s">
        <v>2015</v>
      </c>
      <c r="O24" s="13"/>
      <c r="P24" s="13" t="s">
        <v>1998</v>
      </c>
      <c r="Q24" s="13"/>
      <c r="R24" s="20" t="s">
        <v>2008</v>
      </c>
      <c r="S24" s="13"/>
      <c r="T24" s="20" t="s">
        <v>2016</v>
      </c>
      <c r="U24" s="20"/>
    </row>
    <row r="25" spans="1:21" ht="15.75" customHeight="1" x14ac:dyDescent="0.2">
      <c r="A25" s="21" t="s">
        <v>1226</v>
      </c>
      <c r="B25" s="13" t="s">
        <v>1227</v>
      </c>
      <c r="C25" s="13">
        <v>3</v>
      </c>
      <c r="D25" s="13"/>
      <c r="E25" s="13"/>
      <c r="F25" s="20" t="s">
        <v>2017</v>
      </c>
      <c r="G25" s="20"/>
      <c r="H25" s="13" t="s">
        <v>2018</v>
      </c>
      <c r="I25" s="13"/>
      <c r="J25" s="13" t="s">
        <v>2019</v>
      </c>
      <c r="K25" s="13"/>
      <c r="L25" s="13" t="s">
        <v>2020</v>
      </c>
      <c r="M25" s="13"/>
      <c r="N25" s="13" t="s">
        <v>2020</v>
      </c>
      <c r="O25" s="13"/>
      <c r="P25" s="13" t="s">
        <v>2021</v>
      </c>
      <c r="Q25" s="13"/>
      <c r="R25" s="13" t="s">
        <v>2022</v>
      </c>
      <c r="S25" s="13"/>
      <c r="T25" s="13" t="s">
        <v>2016</v>
      </c>
      <c r="U25" s="13"/>
    </row>
    <row r="26" spans="1:21" ht="15.75" customHeight="1" x14ac:dyDescent="0.2">
      <c r="A26" s="21" t="s">
        <v>1869</v>
      </c>
      <c r="B26" s="13" t="s">
        <v>1870</v>
      </c>
      <c r="C26" s="22">
        <v>3</v>
      </c>
      <c r="D26" s="22"/>
      <c r="E26" s="22"/>
      <c r="F26" s="20" t="s">
        <v>2017</v>
      </c>
      <c r="G26" s="20"/>
      <c r="H26" s="13" t="s">
        <v>2023</v>
      </c>
      <c r="I26" s="13"/>
      <c r="J26" s="13" t="s">
        <v>2024</v>
      </c>
      <c r="K26" s="13"/>
      <c r="L26" s="13" t="s">
        <v>2025</v>
      </c>
      <c r="M26" s="13"/>
      <c r="N26" s="13" t="s">
        <v>2025</v>
      </c>
      <c r="O26" s="13"/>
      <c r="P26" s="20" t="s">
        <v>2026</v>
      </c>
      <c r="Q26" s="13"/>
      <c r="R26" s="20" t="s">
        <v>2027</v>
      </c>
      <c r="S26" s="20"/>
      <c r="T26" s="13" t="s">
        <v>2028</v>
      </c>
      <c r="U26" s="13"/>
    </row>
    <row r="27" spans="1:21" ht="15.75" customHeight="1" x14ac:dyDescent="0.2">
      <c r="A27" s="21" t="s">
        <v>31</v>
      </c>
      <c r="B27" s="13" t="s">
        <v>1583</v>
      </c>
      <c r="C27" s="13">
        <v>3</v>
      </c>
      <c r="D27" s="13"/>
      <c r="E27" s="13"/>
      <c r="F27" s="20" t="s">
        <v>2017</v>
      </c>
      <c r="G27" s="20"/>
      <c r="H27" s="13" t="s">
        <v>2023</v>
      </c>
      <c r="I27" s="13"/>
      <c r="J27" s="13" t="s">
        <v>2029</v>
      </c>
      <c r="K27" s="13"/>
      <c r="L27" s="13" t="s">
        <v>2025</v>
      </c>
      <c r="M27" s="13"/>
      <c r="N27" s="13" t="s">
        <v>2025</v>
      </c>
      <c r="O27" s="13"/>
      <c r="P27" s="13" t="s">
        <v>2026</v>
      </c>
      <c r="Q27" s="13"/>
      <c r="R27" s="13" t="s">
        <v>2027</v>
      </c>
      <c r="S27" s="13"/>
      <c r="T27" s="13" t="s">
        <v>2030</v>
      </c>
      <c r="U27" s="13"/>
    </row>
    <row r="28" spans="1:21" ht="15.75" customHeight="1" x14ac:dyDescent="0.2">
      <c r="A28" s="21" t="s">
        <v>796</v>
      </c>
      <c r="B28" s="13" t="s">
        <v>797</v>
      </c>
      <c r="C28" s="13">
        <v>2</v>
      </c>
      <c r="D28" s="13"/>
      <c r="E28" s="13"/>
      <c r="F28" s="13" t="s">
        <v>2031</v>
      </c>
      <c r="G28" s="20"/>
      <c r="H28" s="20" t="s">
        <v>2032</v>
      </c>
      <c r="I28" s="13"/>
      <c r="J28" s="20" t="s">
        <v>2032</v>
      </c>
      <c r="K28" s="20"/>
      <c r="L28" s="13" t="s">
        <v>2033</v>
      </c>
      <c r="M28" s="13"/>
      <c r="N28" s="13" t="s">
        <v>2034</v>
      </c>
      <c r="O28" s="13"/>
      <c r="P28" s="13" t="s">
        <v>2026</v>
      </c>
      <c r="Q28" s="13"/>
      <c r="R28" s="13" t="s">
        <v>2035</v>
      </c>
      <c r="S28" s="13"/>
      <c r="T28" s="13" t="s">
        <v>2036</v>
      </c>
      <c r="U28" s="13"/>
    </row>
    <row r="29" spans="1:21" ht="15.75" customHeight="1" x14ac:dyDescent="0.2">
      <c r="A29" s="21" t="s">
        <v>903</v>
      </c>
      <c r="B29" s="13" t="s">
        <v>904</v>
      </c>
      <c r="C29" s="13">
        <v>5</v>
      </c>
      <c r="D29" s="13"/>
      <c r="E29" s="13"/>
      <c r="F29" s="13" t="s">
        <v>2037</v>
      </c>
      <c r="G29" s="20"/>
      <c r="H29" s="13" t="s">
        <v>2038</v>
      </c>
      <c r="I29" s="13"/>
      <c r="J29" s="13" t="s">
        <v>2038</v>
      </c>
      <c r="K29" s="13"/>
      <c r="L29" s="13" t="s">
        <v>2039</v>
      </c>
      <c r="M29" s="13"/>
      <c r="N29" s="13" t="s">
        <v>2040</v>
      </c>
      <c r="O29" s="13"/>
      <c r="P29" s="13" t="s">
        <v>2026</v>
      </c>
      <c r="Q29" s="13"/>
      <c r="R29" s="13" t="s">
        <v>2041</v>
      </c>
      <c r="S29" s="13"/>
      <c r="T29" s="13" t="s">
        <v>2042</v>
      </c>
      <c r="U29" s="13"/>
    </row>
    <row r="30" spans="1:21" ht="15.75" customHeight="1" x14ac:dyDescent="0.2">
      <c r="A30" s="21" t="s">
        <v>1519</v>
      </c>
      <c r="B30" s="13" t="s">
        <v>1520</v>
      </c>
      <c r="C30" s="13">
        <v>4</v>
      </c>
      <c r="D30" s="13"/>
      <c r="E30" s="13"/>
      <c r="F30" s="13" t="s">
        <v>1955</v>
      </c>
      <c r="G30" s="13"/>
      <c r="H30" s="23" t="s">
        <v>2043</v>
      </c>
      <c r="I30" s="13"/>
      <c r="J30" s="20" t="s">
        <v>2044</v>
      </c>
      <c r="K30" s="13"/>
      <c r="L30" s="13" t="s">
        <v>2039</v>
      </c>
      <c r="M30" s="13"/>
      <c r="N30" s="13" t="s">
        <v>2045</v>
      </c>
      <c r="O30" s="13"/>
      <c r="P30" s="13" t="s">
        <v>2046</v>
      </c>
      <c r="Q30" s="13"/>
      <c r="R30" s="13" t="s">
        <v>2047</v>
      </c>
      <c r="S30" s="13"/>
      <c r="T30" s="23" t="s">
        <v>2048</v>
      </c>
      <c r="U30" s="13"/>
    </row>
    <row r="31" spans="1:21" ht="15.75" customHeight="1" x14ac:dyDescent="0.2">
      <c r="A31" s="21" t="s">
        <v>589</v>
      </c>
      <c r="B31" s="13" t="s">
        <v>592</v>
      </c>
      <c r="C31" s="13">
        <v>2</v>
      </c>
      <c r="D31" s="13"/>
      <c r="E31" s="13"/>
      <c r="F31" s="13" t="s">
        <v>1955</v>
      </c>
      <c r="G31" s="20"/>
      <c r="H31" s="13" t="s">
        <v>2043</v>
      </c>
      <c r="I31" s="13"/>
      <c r="J31" s="13" t="s">
        <v>2049</v>
      </c>
      <c r="K31" s="13"/>
      <c r="L31" s="20" t="s">
        <v>2050</v>
      </c>
      <c r="M31" s="13"/>
      <c r="N31" s="20" t="s">
        <v>2050</v>
      </c>
      <c r="O31" s="13"/>
      <c r="P31" s="13" t="s">
        <v>2051</v>
      </c>
      <c r="Q31" s="13"/>
      <c r="R31" s="13" t="s">
        <v>2052</v>
      </c>
      <c r="S31" s="13"/>
      <c r="T31" s="13" t="s">
        <v>2053</v>
      </c>
      <c r="U31" s="13"/>
    </row>
    <row r="32" spans="1:21" ht="15.75" customHeight="1" x14ac:dyDescent="0.2">
      <c r="A32" s="21" t="s">
        <v>1115</v>
      </c>
      <c r="B32" s="13" t="s">
        <v>1116</v>
      </c>
      <c r="C32" s="13">
        <v>4</v>
      </c>
      <c r="D32" s="13"/>
      <c r="E32" s="13"/>
      <c r="F32" s="13" t="s">
        <v>2054</v>
      </c>
      <c r="G32" s="20"/>
      <c r="H32" s="13" t="s">
        <v>2055</v>
      </c>
      <c r="I32" s="13"/>
      <c r="J32" s="13" t="s">
        <v>2055</v>
      </c>
      <c r="K32" s="13"/>
      <c r="L32" s="13" t="s">
        <v>2056</v>
      </c>
      <c r="M32" s="13"/>
      <c r="N32" s="13" t="s">
        <v>2056</v>
      </c>
      <c r="O32" s="13"/>
      <c r="P32" s="13" t="s">
        <v>2057</v>
      </c>
      <c r="Q32" s="13"/>
      <c r="R32" s="13" t="s">
        <v>2058</v>
      </c>
      <c r="S32" s="13"/>
      <c r="T32" s="13" t="s">
        <v>2059</v>
      </c>
      <c r="U32" s="13"/>
    </row>
    <row r="33" spans="1:21" ht="15.75" customHeight="1" x14ac:dyDescent="0.2">
      <c r="A33" s="21" t="s">
        <v>1165</v>
      </c>
      <c r="B33" s="13" t="s">
        <v>1166</v>
      </c>
      <c r="C33" s="13">
        <v>3</v>
      </c>
      <c r="D33" s="13" t="s">
        <v>2060</v>
      </c>
      <c r="E33" s="13"/>
      <c r="F33" s="13"/>
      <c r="G33" s="13"/>
      <c r="H33" s="13" t="s">
        <v>2061</v>
      </c>
      <c r="I33" s="13" t="s">
        <v>2062</v>
      </c>
      <c r="J33" s="13" t="s">
        <v>2063</v>
      </c>
      <c r="K33" s="13"/>
      <c r="L33" s="13" t="s">
        <v>2064</v>
      </c>
      <c r="M33" s="13"/>
      <c r="N33" s="13" t="s">
        <v>2065</v>
      </c>
      <c r="O33" s="13"/>
      <c r="P33" s="13" t="s">
        <v>2066</v>
      </c>
      <c r="Q33" s="13"/>
      <c r="R33" s="13" t="s">
        <v>2066</v>
      </c>
      <c r="S33" s="13"/>
      <c r="T33" s="13" t="s">
        <v>2067</v>
      </c>
      <c r="U33" s="13"/>
    </row>
    <row r="34" spans="1:21" ht="15.75" customHeight="1" x14ac:dyDescent="0.2">
      <c r="A34" s="21" t="s">
        <v>741</v>
      </c>
      <c r="B34" s="13" t="s">
        <v>743</v>
      </c>
      <c r="C34" s="13">
        <v>5</v>
      </c>
      <c r="D34" s="13"/>
      <c r="E34" s="13"/>
      <c r="F34" s="13" t="s">
        <v>2068</v>
      </c>
      <c r="G34" s="13"/>
      <c r="H34" s="13" t="s">
        <v>2069</v>
      </c>
      <c r="I34" s="13"/>
      <c r="J34" s="13" t="s">
        <v>2070</v>
      </c>
      <c r="K34" s="20"/>
      <c r="L34" s="20" t="s">
        <v>2071</v>
      </c>
      <c r="M34" s="13"/>
      <c r="N34" s="20" t="s">
        <v>2071</v>
      </c>
      <c r="O34" s="13"/>
      <c r="P34" s="13" t="s">
        <v>2066</v>
      </c>
      <c r="Q34" s="13"/>
      <c r="R34" s="13" t="s">
        <v>2066</v>
      </c>
      <c r="S34" s="13"/>
      <c r="T34" s="13" t="s">
        <v>2053</v>
      </c>
      <c r="U34" s="13"/>
    </row>
    <row r="35" spans="1:21" ht="15.75" customHeight="1" x14ac:dyDescent="0.2">
      <c r="A35" s="21" t="s">
        <v>1907</v>
      </c>
      <c r="B35" s="13" t="s">
        <v>1908</v>
      </c>
      <c r="C35" s="13">
        <v>3</v>
      </c>
      <c r="D35" s="13"/>
      <c r="E35" s="13"/>
      <c r="F35" s="13" t="s">
        <v>2072</v>
      </c>
      <c r="G35" s="20"/>
      <c r="H35" s="13" t="s">
        <v>2073</v>
      </c>
      <c r="I35" s="13"/>
      <c r="J35" s="13" t="s">
        <v>2073</v>
      </c>
      <c r="K35" s="13"/>
      <c r="L35" s="13" t="s">
        <v>2056</v>
      </c>
      <c r="M35" s="13"/>
      <c r="N35" s="13" t="s">
        <v>2056</v>
      </c>
      <c r="O35" s="13"/>
      <c r="P35" s="13" t="s">
        <v>2074</v>
      </c>
      <c r="Q35" s="13"/>
      <c r="R35" s="13" t="s">
        <v>2074</v>
      </c>
      <c r="S35" s="13"/>
      <c r="T35" s="13" t="s">
        <v>2053</v>
      </c>
      <c r="U35" s="13"/>
    </row>
    <row r="36" spans="1:21" ht="15.75" customHeight="1" x14ac:dyDescent="0.2">
      <c r="A36" s="21" t="s">
        <v>1163</v>
      </c>
      <c r="B36" s="13" t="s">
        <v>1164</v>
      </c>
      <c r="C36" s="13">
        <v>2</v>
      </c>
      <c r="D36" s="13"/>
      <c r="E36" s="13"/>
      <c r="F36" s="13" t="s">
        <v>1955</v>
      </c>
      <c r="G36" s="13"/>
      <c r="H36" s="13" t="s">
        <v>2043</v>
      </c>
      <c r="I36" s="13"/>
      <c r="J36" s="13" t="s">
        <v>2044</v>
      </c>
      <c r="K36" s="13"/>
      <c r="L36" s="13" t="s">
        <v>2075</v>
      </c>
      <c r="M36" s="13"/>
      <c r="N36" s="13" t="s">
        <v>2075</v>
      </c>
      <c r="O36" s="13"/>
      <c r="P36" s="13" t="s">
        <v>2076</v>
      </c>
      <c r="Q36" s="13"/>
      <c r="R36" s="13" t="s">
        <v>2076</v>
      </c>
      <c r="S36" s="13"/>
      <c r="T36" s="13" t="s">
        <v>2077</v>
      </c>
      <c r="U36" s="13"/>
    </row>
    <row r="37" spans="1:21" ht="15.75" customHeight="1" x14ac:dyDescent="0.2">
      <c r="A37" s="21" t="s">
        <v>679</v>
      </c>
      <c r="B37" s="13" t="s">
        <v>680</v>
      </c>
      <c r="C37" s="13">
        <v>4</v>
      </c>
      <c r="D37" s="13"/>
      <c r="E37" s="13"/>
      <c r="F37" s="13" t="s">
        <v>1955</v>
      </c>
      <c r="G37" s="13"/>
      <c r="H37" s="13" t="s">
        <v>1955</v>
      </c>
      <c r="I37" s="13"/>
      <c r="J37" s="13" t="s">
        <v>2070</v>
      </c>
      <c r="K37" s="13"/>
      <c r="L37" s="13" t="s">
        <v>2078</v>
      </c>
      <c r="M37" s="13"/>
      <c r="N37" s="13" t="s">
        <v>2078</v>
      </c>
      <c r="O37" s="13"/>
      <c r="P37" s="13" t="s">
        <v>2079</v>
      </c>
      <c r="Q37" s="13"/>
      <c r="R37" s="13" t="s">
        <v>2079</v>
      </c>
      <c r="S37" s="13"/>
      <c r="T37" s="13" t="s">
        <v>2080</v>
      </c>
      <c r="U37" s="13"/>
    </row>
    <row r="38" spans="1:21" ht="15.75" customHeight="1" x14ac:dyDescent="0.2">
      <c r="A38" s="21" t="s">
        <v>789</v>
      </c>
      <c r="B38" s="13" t="s">
        <v>1909</v>
      </c>
      <c r="C38" s="13">
        <v>4</v>
      </c>
      <c r="D38" s="13"/>
      <c r="E38" s="13"/>
      <c r="F38" s="13" t="s">
        <v>2068</v>
      </c>
      <c r="G38" s="20"/>
      <c r="H38" s="13" t="s">
        <v>2081</v>
      </c>
      <c r="I38" s="13"/>
      <c r="J38" s="13" t="s">
        <v>2081</v>
      </c>
      <c r="K38" s="13"/>
      <c r="L38" s="13" t="s">
        <v>2082</v>
      </c>
      <c r="M38" s="13"/>
      <c r="N38" s="13" t="s">
        <v>2083</v>
      </c>
      <c r="O38" s="13"/>
      <c r="P38" s="13" t="s">
        <v>2084</v>
      </c>
      <c r="Q38" s="13"/>
      <c r="R38" s="13" t="s">
        <v>2085</v>
      </c>
      <c r="S38" s="13"/>
      <c r="T38" s="13" t="s">
        <v>2077</v>
      </c>
      <c r="U38" s="13"/>
    </row>
    <row r="39" spans="1:21" ht="15.75" customHeight="1" x14ac:dyDescent="0.2">
      <c r="A39" s="21" t="s">
        <v>977</v>
      </c>
      <c r="B39" s="13" t="s">
        <v>978</v>
      </c>
      <c r="C39" s="13">
        <v>2</v>
      </c>
      <c r="D39" s="13"/>
      <c r="E39" s="13"/>
      <c r="F39" s="13" t="s">
        <v>1955</v>
      </c>
      <c r="G39" s="13"/>
      <c r="H39" s="20" t="s">
        <v>2086</v>
      </c>
      <c r="I39" s="13"/>
      <c r="J39" s="13" t="s">
        <v>2087</v>
      </c>
      <c r="K39" s="20"/>
      <c r="L39" s="13" t="s">
        <v>2087</v>
      </c>
      <c r="M39" s="13"/>
      <c r="N39" s="13" t="s">
        <v>2088</v>
      </c>
      <c r="O39" s="13"/>
      <c r="P39" s="13" t="s">
        <v>2089</v>
      </c>
      <c r="Q39" s="13"/>
      <c r="R39" s="13" t="s">
        <v>2089</v>
      </c>
      <c r="S39" s="13"/>
      <c r="T39" s="13" t="s">
        <v>2077</v>
      </c>
      <c r="U39" s="13"/>
    </row>
    <row r="40" spans="1:21" ht="15.75" customHeight="1" x14ac:dyDescent="0.2">
      <c r="A40" s="21" t="s">
        <v>784</v>
      </c>
      <c r="B40" s="13" t="s">
        <v>1209</v>
      </c>
      <c r="C40" s="13">
        <v>5</v>
      </c>
      <c r="D40" s="13"/>
      <c r="E40" s="13"/>
      <c r="F40" s="13" t="s">
        <v>1955</v>
      </c>
      <c r="G40" s="13"/>
      <c r="H40" s="13" t="s">
        <v>1955</v>
      </c>
      <c r="I40" s="13"/>
      <c r="J40" s="20" t="s">
        <v>2044</v>
      </c>
      <c r="K40" s="20"/>
      <c r="L40" s="13" t="s">
        <v>2044</v>
      </c>
      <c r="M40" s="13"/>
      <c r="N40" s="13" t="s">
        <v>2088</v>
      </c>
      <c r="O40" s="13"/>
      <c r="P40" s="13" t="s">
        <v>1991</v>
      </c>
      <c r="Q40" s="13"/>
      <c r="R40" s="13" t="s">
        <v>1991</v>
      </c>
      <c r="S40" s="13"/>
      <c r="T40" s="13" t="s">
        <v>2077</v>
      </c>
      <c r="U40" s="13"/>
    </row>
    <row r="41" spans="1:21" ht="15.75" customHeight="1" x14ac:dyDescent="0.2">
      <c r="A41" s="21" t="s">
        <v>751</v>
      </c>
      <c r="B41" s="13" t="s">
        <v>1210</v>
      </c>
      <c r="C41" s="13">
        <v>3</v>
      </c>
      <c r="D41" s="13"/>
      <c r="E41" s="13"/>
      <c r="F41" s="13" t="s">
        <v>1955</v>
      </c>
      <c r="G41" s="13"/>
      <c r="H41" s="13" t="s">
        <v>2043</v>
      </c>
      <c r="I41" s="13"/>
      <c r="J41" s="13" t="s">
        <v>2090</v>
      </c>
      <c r="K41" s="13"/>
      <c r="L41" s="13" t="s">
        <v>2049</v>
      </c>
      <c r="M41" s="13"/>
      <c r="N41" s="13" t="s">
        <v>2088</v>
      </c>
      <c r="O41" s="13"/>
      <c r="P41" s="13" t="s">
        <v>1991</v>
      </c>
      <c r="Q41" s="13"/>
      <c r="R41" s="13" t="s">
        <v>1991</v>
      </c>
      <c r="S41" s="13"/>
      <c r="T41" s="13" t="s">
        <v>2077</v>
      </c>
      <c r="U41" s="13"/>
    </row>
    <row r="42" spans="1:21" ht="15.75" customHeight="1" x14ac:dyDescent="0.2">
      <c r="A42" s="21" t="s">
        <v>1487</v>
      </c>
      <c r="B42" s="13" t="s">
        <v>1488</v>
      </c>
      <c r="C42" s="13">
        <v>2</v>
      </c>
      <c r="D42" s="13"/>
      <c r="E42" s="13"/>
      <c r="F42" s="13" t="s">
        <v>1955</v>
      </c>
      <c r="G42" s="13"/>
      <c r="H42" s="13" t="s">
        <v>1955</v>
      </c>
      <c r="I42" s="13"/>
      <c r="J42" s="13" t="s">
        <v>2070</v>
      </c>
      <c r="K42" s="13"/>
      <c r="L42" s="13" t="s">
        <v>2088</v>
      </c>
      <c r="M42" s="13"/>
      <c r="N42" s="13" t="s">
        <v>2088</v>
      </c>
      <c r="O42" s="13"/>
      <c r="P42" s="13" t="s">
        <v>1991</v>
      </c>
      <c r="Q42" s="13"/>
      <c r="R42" s="13" t="s">
        <v>1991</v>
      </c>
      <c r="S42" s="13"/>
      <c r="T42" s="13" t="s">
        <v>1954</v>
      </c>
      <c r="U42" s="13"/>
    </row>
    <row r="43" spans="1:21" ht="15.75" customHeight="1" x14ac:dyDescent="0.2">
      <c r="A43" s="21" t="s">
        <v>2091</v>
      </c>
      <c r="B43" s="13" t="s">
        <v>938</v>
      </c>
      <c r="C43" s="13">
        <v>3</v>
      </c>
      <c r="D43" s="13"/>
      <c r="E43" s="13"/>
      <c r="F43" s="13" t="s">
        <v>2092</v>
      </c>
      <c r="G43" s="20"/>
      <c r="H43" s="13" t="s">
        <v>2093</v>
      </c>
      <c r="I43" s="13"/>
      <c r="J43" s="13" t="s">
        <v>2070</v>
      </c>
      <c r="K43" s="20"/>
      <c r="L43" s="13" t="s">
        <v>2082</v>
      </c>
      <c r="M43" s="13"/>
      <c r="N43" s="13"/>
      <c r="O43" s="13"/>
      <c r="P43" s="13" t="s">
        <v>1991</v>
      </c>
      <c r="Q43" s="13"/>
      <c r="R43" s="13" t="s">
        <v>1991</v>
      </c>
      <c r="S43" s="13"/>
      <c r="T43" s="13" t="s">
        <v>1954</v>
      </c>
      <c r="U43" s="13"/>
    </row>
    <row r="44" spans="1:21" ht="15.75" customHeight="1" x14ac:dyDescent="0.2">
      <c r="A44" s="21" t="s">
        <v>374</v>
      </c>
      <c r="B44" s="13" t="s">
        <v>376</v>
      </c>
      <c r="C44" s="13">
        <v>2</v>
      </c>
      <c r="D44" s="13"/>
      <c r="E44" s="13"/>
      <c r="F44" s="13" t="s">
        <v>2094</v>
      </c>
      <c r="G44" s="20"/>
      <c r="H44" s="13" t="s">
        <v>2095</v>
      </c>
      <c r="I44" s="13"/>
      <c r="J44" s="13" t="s">
        <v>2024</v>
      </c>
      <c r="K44" s="13"/>
      <c r="L44" s="13" t="s">
        <v>2096</v>
      </c>
      <c r="M44" s="13"/>
      <c r="N44" s="13" t="s">
        <v>2097</v>
      </c>
      <c r="O44" s="13"/>
      <c r="P44" s="13" t="s">
        <v>2026</v>
      </c>
      <c r="Q44" s="13"/>
      <c r="R44" s="13" t="s">
        <v>2098</v>
      </c>
      <c r="S44" s="13"/>
      <c r="T44" s="13" t="s">
        <v>2099</v>
      </c>
      <c r="U44" s="13"/>
    </row>
    <row r="45" spans="1:21" ht="15.75" customHeight="1" x14ac:dyDescent="0.2">
      <c r="A45" s="21" t="s">
        <v>1866</v>
      </c>
      <c r="B45" s="13" t="s">
        <v>1867</v>
      </c>
      <c r="C45" s="13">
        <v>4</v>
      </c>
      <c r="D45" s="13"/>
      <c r="E45" s="13"/>
      <c r="F45" s="13"/>
      <c r="G45" s="13" t="s">
        <v>2100</v>
      </c>
      <c r="H45" s="20"/>
      <c r="I45" s="13" t="s">
        <v>2100</v>
      </c>
      <c r="J45" s="13" t="s">
        <v>2063</v>
      </c>
      <c r="K45" s="13"/>
      <c r="L45" s="13" t="s">
        <v>2078</v>
      </c>
      <c r="M45" s="13"/>
      <c r="N45" s="13" t="s">
        <v>2078</v>
      </c>
      <c r="O45" s="13"/>
      <c r="P45" s="20"/>
      <c r="Q45" s="13"/>
      <c r="R45" s="20" t="s">
        <v>1992</v>
      </c>
      <c r="S45" s="20"/>
      <c r="T45" s="13" t="s">
        <v>2099</v>
      </c>
      <c r="U45" s="20"/>
    </row>
    <row r="46" spans="1:21" ht="15.75" customHeight="1" x14ac:dyDescent="0.2">
      <c r="A46" s="21" t="s">
        <v>127</v>
      </c>
      <c r="B46" s="13" t="s">
        <v>790</v>
      </c>
      <c r="C46" s="13">
        <v>3</v>
      </c>
      <c r="D46" s="13"/>
      <c r="E46" s="13"/>
      <c r="F46" s="13" t="s">
        <v>2101</v>
      </c>
      <c r="G46" s="20"/>
      <c r="H46" s="13" t="s">
        <v>2101</v>
      </c>
      <c r="I46" s="13"/>
      <c r="J46" s="13" t="s">
        <v>2070</v>
      </c>
      <c r="K46" s="20"/>
      <c r="L46" s="13" t="s">
        <v>2088</v>
      </c>
      <c r="M46" s="13"/>
      <c r="N46" s="13" t="s">
        <v>2088</v>
      </c>
      <c r="O46" s="13"/>
      <c r="P46" s="13" t="s">
        <v>2102</v>
      </c>
      <c r="Q46" s="13"/>
      <c r="R46" s="20" t="s">
        <v>1992</v>
      </c>
      <c r="S46" s="13"/>
      <c r="T46" s="13" t="s">
        <v>2099</v>
      </c>
      <c r="U46" s="20"/>
    </row>
    <row r="47" spans="1:21" ht="15.75" customHeight="1" x14ac:dyDescent="0.2">
      <c r="A47" s="21" t="s">
        <v>1267</v>
      </c>
      <c r="B47" s="13" t="s">
        <v>1922</v>
      </c>
      <c r="C47" s="13">
        <v>6</v>
      </c>
      <c r="D47" s="13"/>
      <c r="E47" s="13"/>
      <c r="F47" s="13" t="s">
        <v>2101</v>
      </c>
      <c r="G47" s="20"/>
      <c r="H47" s="20" t="s">
        <v>2103</v>
      </c>
      <c r="I47" s="13"/>
      <c r="J47" s="13" t="s">
        <v>2104</v>
      </c>
      <c r="K47" s="20"/>
      <c r="L47" s="13" t="s">
        <v>2104</v>
      </c>
      <c r="M47" s="13"/>
      <c r="N47" s="13" t="s">
        <v>2088</v>
      </c>
      <c r="O47" s="13"/>
      <c r="P47" s="13" t="s">
        <v>2102</v>
      </c>
      <c r="Q47" s="13"/>
      <c r="R47" s="13" t="s">
        <v>2105</v>
      </c>
      <c r="S47" s="13"/>
      <c r="T47" s="13" t="s">
        <v>2099</v>
      </c>
      <c r="U47" s="13"/>
    </row>
    <row r="48" spans="1:21" ht="15.75" customHeight="1" x14ac:dyDescent="0.2">
      <c r="A48" s="21" t="s">
        <v>1176</v>
      </c>
      <c r="B48" s="13" t="s">
        <v>731</v>
      </c>
      <c r="C48" s="13">
        <v>2</v>
      </c>
      <c r="D48" s="13"/>
      <c r="E48" s="13"/>
      <c r="F48" s="13" t="s">
        <v>1955</v>
      </c>
      <c r="G48" s="13"/>
      <c r="H48" s="20" t="s">
        <v>2086</v>
      </c>
      <c r="I48" s="13"/>
      <c r="J48" s="20" t="s">
        <v>2044</v>
      </c>
      <c r="K48" s="20"/>
      <c r="L48" s="20" t="s">
        <v>2044</v>
      </c>
      <c r="M48" s="13"/>
      <c r="N48" s="13" t="s">
        <v>2088</v>
      </c>
      <c r="O48" s="13"/>
      <c r="P48" s="20" t="s">
        <v>2106</v>
      </c>
      <c r="Q48" s="13"/>
      <c r="R48" s="20" t="s">
        <v>2107</v>
      </c>
      <c r="S48" s="20"/>
      <c r="T48" s="13" t="s">
        <v>2099</v>
      </c>
      <c r="U48" s="20"/>
    </row>
    <row r="49" spans="1:21" ht="15.75" customHeight="1" x14ac:dyDescent="0.2">
      <c r="A49" s="21" t="s">
        <v>133</v>
      </c>
      <c r="B49" s="13">
        <v>12502</v>
      </c>
      <c r="C49" s="13">
        <v>1</v>
      </c>
      <c r="D49" s="13"/>
      <c r="E49" s="13"/>
      <c r="F49" s="13" t="s">
        <v>1955</v>
      </c>
      <c r="G49" s="20"/>
      <c r="H49" s="20" t="s">
        <v>2086</v>
      </c>
      <c r="I49" s="13"/>
      <c r="J49" s="13" t="s">
        <v>2049</v>
      </c>
      <c r="K49" s="20"/>
      <c r="L49" s="20" t="s">
        <v>2050</v>
      </c>
      <c r="M49" s="13"/>
      <c r="N49" s="20" t="s">
        <v>2050</v>
      </c>
      <c r="O49" s="13"/>
      <c r="P49" s="13" t="s">
        <v>2108</v>
      </c>
      <c r="Q49" s="13"/>
      <c r="R49" s="13" t="s">
        <v>2108</v>
      </c>
      <c r="S49" s="13"/>
      <c r="T49" s="13" t="s">
        <v>2099</v>
      </c>
      <c r="U49" s="13"/>
    </row>
    <row r="50" spans="1:21" ht="15.75" customHeight="1" x14ac:dyDescent="0.2">
      <c r="A50" s="21" t="s">
        <v>784</v>
      </c>
      <c r="B50" s="13" t="s">
        <v>785</v>
      </c>
      <c r="C50" s="13">
        <v>7</v>
      </c>
      <c r="D50" s="13"/>
      <c r="E50" s="13"/>
      <c r="F50" s="13" t="s">
        <v>2109</v>
      </c>
      <c r="G50" s="20"/>
      <c r="H50" s="13" t="s">
        <v>2073</v>
      </c>
      <c r="I50" s="13"/>
      <c r="J50" s="13" t="s">
        <v>2073</v>
      </c>
      <c r="K50" s="13"/>
      <c r="L50" s="13" t="s">
        <v>2033</v>
      </c>
      <c r="M50" s="13"/>
      <c r="N50" s="13" t="s">
        <v>2083</v>
      </c>
      <c r="O50" s="13"/>
      <c r="P50" s="13" t="s">
        <v>2110</v>
      </c>
      <c r="Q50" s="13"/>
      <c r="R50" s="13" t="s">
        <v>2111</v>
      </c>
      <c r="S50" s="13"/>
      <c r="T50" s="13" t="s">
        <v>2099</v>
      </c>
      <c r="U50" s="13"/>
    </row>
    <row r="51" spans="1:21" ht="15.75" customHeight="1" x14ac:dyDescent="0.2">
      <c r="A51" s="21" t="s">
        <v>751</v>
      </c>
      <c r="B51" s="13" t="s">
        <v>752</v>
      </c>
      <c r="C51" s="13">
        <v>4</v>
      </c>
      <c r="D51" s="13"/>
      <c r="E51" s="13"/>
      <c r="F51" s="20" t="s">
        <v>2112</v>
      </c>
      <c r="G51" s="20"/>
      <c r="H51" s="13" t="s">
        <v>2010</v>
      </c>
      <c r="I51" s="13"/>
      <c r="J51" s="13" t="s">
        <v>2113</v>
      </c>
      <c r="K51" s="13"/>
      <c r="L51" s="13" t="s">
        <v>2114</v>
      </c>
      <c r="M51" s="13"/>
      <c r="N51" s="13" t="s">
        <v>2114</v>
      </c>
      <c r="O51" s="13"/>
      <c r="P51" s="13" t="s">
        <v>2115</v>
      </c>
      <c r="Q51" s="13"/>
      <c r="R51" s="13" t="s">
        <v>2116</v>
      </c>
      <c r="S51" s="13"/>
      <c r="T51" s="13" t="s">
        <v>2099</v>
      </c>
      <c r="U51" s="13"/>
    </row>
    <row r="52" spans="1:21" ht="15.75" customHeight="1" x14ac:dyDescent="0.2">
      <c r="A52" s="21" t="s">
        <v>876</v>
      </c>
      <c r="B52" s="13" t="s">
        <v>877</v>
      </c>
      <c r="C52" s="13">
        <v>4</v>
      </c>
      <c r="D52" s="13"/>
      <c r="E52" s="13"/>
      <c r="F52" s="13"/>
      <c r="G52" s="20"/>
      <c r="H52" s="20" t="s">
        <v>2117</v>
      </c>
      <c r="I52" s="13"/>
      <c r="J52" s="13" t="s">
        <v>2118</v>
      </c>
      <c r="K52" s="20"/>
      <c r="L52" s="13" t="s">
        <v>2118</v>
      </c>
      <c r="M52" s="13"/>
      <c r="N52" s="13" t="s">
        <v>2088</v>
      </c>
      <c r="O52" s="13"/>
      <c r="P52" s="13" t="s">
        <v>2115</v>
      </c>
      <c r="Q52" s="13"/>
      <c r="R52" s="13" t="s">
        <v>2119</v>
      </c>
      <c r="S52" s="13"/>
      <c r="T52" s="13" t="s">
        <v>2099</v>
      </c>
      <c r="U52" s="13"/>
    </row>
    <row r="53" spans="1:21" ht="15.75" customHeight="1" x14ac:dyDescent="0.2">
      <c r="A53" s="21" t="s">
        <v>124</v>
      </c>
      <c r="B53" s="13" t="s">
        <v>672</v>
      </c>
      <c r="C53" s="13">
        <v>6</v>
      </c>
      <c r="D53" s="13"/>
      <c r="E53" s="13"/>
      <c r="F53" s="13" t="s">
        <v>2072</v>
      </c>
      <c r="G53" s="20"/>
      <c r="H53" s="13" t="s">
        <v>2072</v>
      </c>
      <c r="I53" s="13"/>
      <c r="J53" s="13" t="s">
        <v>2070</v>
      </c>
      <c r="K53" s="13"/>
      <c r="L53" s="13" t="s">
        <v>2120</v>
      </c>
      <c r="M53" s="13"/>
      <c r="N53" s="13" t="s">
        <v>2083</v>
      </c>
      <c r="O53" s="13"/>
      <c r="P53" s="13" t="s">
        <v>1991</v>
      </c>
      <c r="Q53" s="13"/>
      <c r="R53" s="13" t="s">
        <v>1991</v>
      </c>
      <c r="S53" s="13"/>
      <c r="T53" s="13" t="s">
        <v>2099</v>
      </c>
      <c r="U53" s="13"/>
    </row>
    <row r="54" spans="1:21" ht="15.75" customHeight="1" x14ac:dyDescent="0.2">
      <c r="A54" s="21" t="s">
        <v>2121</v>
      </c>
      <c r="B54" s="13" t="s">
        <v>736</v>
      </c>
      <c r="C54" s="13">
        <v>3</v>
      </c>
      <c r="D54" s="13"/>
      <c r="E54" s="13"/>
      <c r="F54" s="13" t="s">
        <v>2069</v>
      </c>
      <c r="G54" s="20"/>
      <c r="H54" s="13" t="s">
        <v>2069</v>
      </c>
      <c r="I54" s="13"/>
      <c r="J54" s="13" t="s">
        <v>2070</v>
      </c>
      <c r="K54" s="20"/>
      <c r="L54" s="20" t="s">
        <v>2122</v>
      </c>
      <c r="M54" s="13"/>
      <c r="N54" s="20" t="s">
        <v>2122</v>
      </c>
      <c r="O54" s="13"/>
      <c r="P54" s="13" t="s">
        <v>1991</v>
      </c>
      <c r="Q54" s="13"/>
      <c r="R54" s="13" t="s">
        <v>1991</v>
      </c>
      <c r="S54" s="13"/>
      <c r="T54" s="13" t="s">
        <v>2099</v>
      </c>
      <c r="U54" s="13"/>
    </row>
    <row r="55" spans="1:21" ht="15.75" customHeight="1" x14ac:dyDescent="0.2">
      <c r="A55" s="21" t="s">
        <v>1160</v>
      </c>
      <c r="B55" s="13" t="s">
        <v>1161</v>
      </c>
      <c r="C55" s="13">
        <v>4</v>
      </c>
      <c r="D55" s="13"/>
      <c r="E55" s="13"/>
      <c r="F55" s="13" t="s">
        <v>1955</v>
      </c>
      <c r="G55" s="13"/>
      <c r="H55" s="20" t="s">
        <v>2086</v>
      </c>
      <c r="I55" s="13"/>
      <c r="J55" s="20" t="s">
        <v>2044</v>
      </c>
      <c r="K55" s="20"/>
      <c r="L55" s="13" t="s">
        <v>2039</v>
      </c>
      <c r="M55" s="13"/>
      <c r="N55" s="13" t="s">
        <v>2083</v>
      </c>
      <c r="O55" s="13"/>
      <c r="P55" s="13" t="s">
        <v>1991</v>
      </c>
      <c r="Q55" s="13"/>
      <c r="R55" s="13" t="s">
        <v>1991</v>
      </c>
      <c r="S55" s="13"/>
      <c r="T55" s="13" t="s">
        <v>2099</v>
      </c>
      <c r="U55" s="13"/>
    </row>
    <row r="56" spans="1:21" ht="15.75" customHeight="1" x14ac:dyDescent="0.2">
      <c r="A56" s="21" t="s">
        <v>2123</v>
      </c>
      <c r="B56" s="13" t="s">
        <v>747</v>
      </c>
      <c r="C56" s="13">
        <v>6</v>
      </c>
      <c r="D56" s="13"/>
      <c r="E56" s="13"/>
      <c r="F56" s="13"/>
      <c r="G56" s="23" t="s">
        <v>2124</v>
      </c>
      <c r="H56" s="20"/>
      <c r="I56" s="23" t="s">
        <v>2125</v>
      </c>
      <c r="J56" s="20" t="s">
        <v>2126</v>
      </c>
      <c r="K56" s="23"/>
      <c r="L56" s="13" t="s">
        <v>2126</v>
      </c>
      <c r="M56" s="13"/>
      <c r="N56" s="13" t="s">
        <v>2088</v>
      </c>
      <c r="O56" s="13"/>
      <c r="P56" s="13" t="s">
        <v>1991</v>
      </c>
      <c r="Q56" s="13"/>
      <c r="R56" s="13" t="s">
        <v>1991</v>
      </c>
      <c r="S56" s="13"/>
      <c r="T56" s="13" t="s">
        <v>2099</v>
      </c>
      <c r="U56" s="13"/>
    </row>
    <row r="57" spans="1:21" ht="15.75" customHeight="1" x14ac:dyDescent="0.2">
      <c r="A57" s="21" t="s">
        <v>929</v>
      </c>
      <c r="B57" s="13" t="s">
        <v>930</v>
      </c>
      <c r="C57" s="13">
        <v>4</v>
      </c>
      <c r="D57" s="13"/>
      <c r="E57" s="13"/>
      <c r="F57" s="13" t="s">
        <v>1955</v>
      </c>
      <c r="G57" s="13"/>
      <c r="H57" s="13" t="s">
        <v>2043</v>
      </c>
      <c r="I57" s="13"/>
      <c r="J57" s="13" t="s">
        <v>2127</v>
      </c>
      <c r="K57" s="13"/>
      <c r="L57" s="13" t="s">
        <v>2128</v>
      </c>
      <c r="M57" s="13"/>
      <c r="N57" s="13" t="s">
        <v>2088</v>
      </c>
      <c r="O57" s="13"/>
      <c r="P57" s="13" t="s">
        <v>1991</v>
      </c>
      <c r="Q57" s="13"/>
      <c r="R57" s="13" t="s">
        <v>1991</v>
      </c>
      <c r="S57" s="13"/>
      <c r="T57" s="13" t="s">
        <v>2099</v>
      </c>
      <c r="U57" s="13"/>
    </row>
    <row r="58" spans="1:21" ht="15.75" customHeight="1" x14ac:dyDescent="0.2">
      <c r="A58" s="21" t="s">
        <v>748</v>
      </c>
      <c r="B58" s="13" t="s">
        <v>749</v>
      </c>
      <c r="C58" s="13">
        <v>6</v>
      </c>
      <c r="D58" s="13"/>
      <c r="E58" s="13"/>
      <c r="F58" s="13" t="s">
        <v>2129</v>
      </c>
      <c r="G58" s="20"/>
      <c r="H58" s="13" t="s">
        <v>2009</v>
      </c>
      <c r="I58" s="13"/>
      <c r="J58" s="13" t="s">
        <v>2070</v>
      </c>
      <c r="K58" s="13"/>
      <c r="L58" s="13" t="s">
        <v>2044</v>
      </c>
      <c r="M58" s="13"/>
      <c r="N58" s="13" t="s">
        <v>2088</v>
      </c>
      <c r="O58" s="13"/>
      <c r="P58" s="13" t="s">
        <v>1991</v>
      </c>
      <c r="Q58" s="13"/>
      <c r="R58" s="13" t="s">
        <v>1991</v>
      </c>
      <c r="S58" s="13"/>
      <c r="T58" s="13" t="s">
        <v>2099</v>
      </c>
      <c r="U58" s="13"/>
    </row>
    <row r="59" spans="1:21" ht="15.75" customHeight="1" x14ac:dyDescent="0.2">
      <c r="A59" s="21" t="s">
        <v>1105</v>
      </c>
      <c r="B59" s="13" t="s">
        <v>1106</v>
      </c>
      <c r="C59" s="13">
        <v>3</v>
      </c>
      <c r="D59" s="13"/>
      <c r="E59" s="13"/>
      <c r="F59" s="13" t="s">
        <v>1955</v>
      </c>
      <c r="G59" s="13"/>
      <c r="H59" s="13" t="s">
        <v>1955</v>
      </c>
      <c r="I59" s="13"/>
      <c r="J59" s="13" t="s">
        <v>2070</v>
      </c>
      <c r="K59" s="20"/>
      <c r="L59" s="13" t="s">
        <v>2044</v>
      </c>
      <c r="M59" s="13"/>
      <c r="N59" s="13" t="s">
        <v>2088</v>
      </c>
      <c r="O59" s="13"/>
      <c r="P59" s="13" t="s">
        <v>1991</v>
      </c>
      <c r="Q59" s="13"/>
      <c r="R59" s="13" t="s">
        <v>1991</v>
      </c>
      <c r="S59" s="13"/>
      <c r="T59" s="13" t="s">
        <v>2099</v>
      </c>
      <c r="U59" s="13"/>
    </row>
    <row r="60" spans="1:21" ht="15.75" customHeight="1" x14ac:dyDescent="0.2">
      <c r="A60" s="21" t="s">
        <v>1135</v>
      </c>
      <c r="B60" s="13" t="s">
        <v>1136</v>
      </c>
      <c r="C60" s="13">
        <v>4</v>
      </c>
      <c r="D60" s="13"/>
      <c r="E60" s="13"/>
      <c r="F60" s="13" t="s">
        <v>1955</v>
      </c>
      <c r="G60" s="13"/>
      <c r="H60" s="13" t="s">
        <v>1955</v>
      </c>
      <c r="I60" s="13"/>
      <c r="J60" s="13" t="s">
        <v>2070</v>
      </c>
      <c r="K60" s="20"/>
      <c r="L60" s="13" t="s">
        <v>2088</v>
      </c>
      <c r="M60" s="13"/>
      <c r="N60" s="13" t="s">
        <v>2088</v>
      </c>
      <c r="O60" s="13"/>
      <c r="P60" s="13" t="s">
        <v>1991</v>
      </c>
      <c r="Q60" s="13"/>
      <c r="R60" s="13" t="s">
        <v>1991</v>
      </c>
      <c r="S60" s="13"/>
      <c r="T60" s="13" t="s">
        <v>2099</v>
      </c>
      <c r="U60" s="13"/>
    </row>
    <row r="61" spans="1:21" ht="15.75" customHeight="1" x14ac:dyDescent="0.2">
      <c r="A61" s="21" t="s">
        <v>739</v>
      </c>
      <c r="B61" s="13" t="s">
        <v>740</v>
      </c>
      <c r="C61" s="13">
        <v>4</v>
      </c>
      <c r="D61" s="13"/>
      <c r="E61" s="13"/>
      <c r="F61" s="13" t="s">
        <v>1955</v>
      </c>
      <c r="G61" s="13"/>
      <c r="H61" s="13" t="s">
        <v>1955</v>
      </c>
      <c r="I61" s="13"/>
      <c r="J61" s="13" t="s">
        <v>2070</v>
      </c>
      <c r="K61" s="13"/>
      <c r="L61" s="13" t="s">
        <v>2044</v>
      </c>
      <c r="M61" s="13"/>
      <c r="N61" s="13" t="s">
        <v>2088</v>
      </c>
      <c r="O61" s="13"/>
      <c r="P61" s="13" t="s">
        <v>1991</v>
      </c>
      <c r="Q61" s="13"/>
      <c r="R61" s="13" t="s">
        <v>1991</v>
      </c>
      <c r="S61" s="13"/>
      <c r="T61" s="13" t="s">
        <v>2099</v>
      </c>
      <c r="U61" s="13"/>
    </row>
    <row r="62" spans="1:21" ht="15.75" customHeight="1" x14ac:dyDescent="0.2">
      <c r="A62" s="21" t="s">
        <v>756</v>
      </c>
      <c r="B62" s="13" t="s">
        <v>757</v>
      </c>
      <c r="C62" s="13">
        <v>1</v>
      </c>
      <c r="D62" s="13"/>
      <c r="E62" s="13"/>
      <c r="F62" s="13" t="s">
        <v>1955</v>
      </c>
      <c r="G62" s="13"/>
      <c r="H62" s="13" t="s">
        <v>1955</v>
      </c>
      <c r="I62" s="13"/>
      <c r="J62" s="13" t="s">
        <v>2070</v>
      </c>
      <c r="K62" s="20"/>
      <c r="L62" s="13" t="s">
        <v>2088</v>
      </c>
      <c r="M62" s="13"/>
      <c r="N62" s="13" t="s">
        <v>2088</v>
      </c>
      <c r="O62" s="13"/>
      <c r="P62" s="13" t="s">
        <v>1991</v>
      </c>
      <c r="Q62" s="13"/>
      <c r="R62" s="13" t="s">
        <v>1991</v>
      </c>
      <c r="S62" s="13"/>
      <c r="T62" s="13" t="s">
        <v>2099</v>
      </c>
      <c r="U62" s="13"/>
    </row>
    <row r="63" spans="1:21" ht="15.75" customHeight="1" x14ac:dyDescent="0.2">
      <c r="A63" s="21" t="s">
        <v>737</v>
      </c>
      <c r="B63" s="13" t="s">
        <v>738</v>
      </c>
      <c r="C63" s="13">
        <v>5</v>
      </c>
      <c r="D63" s="13"/>
      <c r="E63" s="13"/>
      <c r="F63" s="13" t="s">
        <v>1955</v>
      </c>
      <c r="G63" s="13"/>
      <c r="H63" s="13" t="s">
        <v>1955</v>
      </c>
      <c r="I63" s="13"/>
      <c r="J63" s="13" t="s">
        <v>2070</v>
      </c>
      <c r="K63" s="13"/>
      <c r="L63" s="13" t="s">
        <v>2044</v>
      </c>
      <c r="M63" s="13"/>
      <c r="N63" s="13" t="s">
        <v>2088</v>
      </c>
      <c r="O63" s="13"/>
      <c r="P63" s="13" t="s">
        <v>1991</v>
      </c>
      <c r="Q63" s="13"/>
      <c r="R63" s="13" t="s">
        <v>1991</v>
      </c>
      <c r="S63" s="13"/>
      <c r="T63" s="13" t="s">
        <v>2099</v>
      </c>
      <c r="U63" s="13"/>
    </row>
    <row r="64" spans="1:21" ht="15.75" customHeight="1" x14ac:dyDescent="0.2">
      <c r="A64" s="21" t="s">
        <v>753</v>
      </c>
      <c r="B64" s="13" t="s">
        <v>754</v>
      </c>
      <c r="C64" s="13">
        <v>7</v>
      </c>
      <c r="D64" s="13"/>
      <c r="E64" s="13"/>
      <c r="F64" s="13" t="s">
        <v>1955</v>
      </c>
      <c r="G64" s="13"/>
      <c r="H64" s="20" t="s">
        <v>2086</v>
      </c>
      <c r="I64" s="13"/>
      <c r="J64" s="20" t="s">
        <v>2044</v>
      </c>
      <c r="K64" s="20"/>
      <c r="L64" s="20" t="s">
        <v>2044</v>
      </c>
      <c r="M64" s="13"/>
      <c r="N64" s="13" t="s">
        <v>2088</v>
      </c>
      <c r="O64" s="13"/>
      <c r="P64" s="13" t="s">
        <v>1991</v>
      </c>
      <c r="Q64" s="13"/>
      <c r="R64" s="13" t="s">
        <v>1991</v>
      </c>
      <c r="S64" s="13"/>
      <c r="T64" s="13" t="s">
        <v>2099</v>
      </c>
      <c r="U64" s="13"/>
    </row>
    <row r="65" spans="1:21" ht="15.75" customHeight="1" x14ac:dyDescent="0.2">
      <c r="A65" s="21" t="s">
        <v>744</v>
      </c>
      <c r="B65" s="13" t="s">
        <v>745</v>
      </c>
      <c r="C65" s="13">
        <v>2</v>
      </c>
      <c r="D65" s="13"/>
      <c r="E65" s="13"/>
      <c r="F65" s="13"/>
      <c r="G65" s="20"/>
      <c r="H65" s="20" t="s">
        <v>2130</v>
      </c>
      <c r="I65" s="20"/>
      <c r="J65" s="13" t="s">
        <v>2044</v>
      </c>
      <c r="K65" s="20"/>
      <c r="L65" s="13" t="s">
        <v>2044</v>
      </c>
      <c r="M65" s="13"/>
      <c r="N65" s="13" t="s">
        <v>2088</v>
      </c>
      <c r="O65" s="13"/>
      <c r="P65" s="13" t="s">
        <v>1991</v>
      </c>
      <c r="Q65" s="13"/>
      <c r="R65" s="13" t="s">
        <v>1991</v>
      </c>
      <c r="S65" s="13"/>
      <c r="T65" s="13" t="s">
        <v>2099</v>
      </c>
      <c r="U65" s="13"/>
    </row>
    <row r="66" spans="1:21" ht="15.75" customHeight="1" x14ac:dyDescent="0.2">
      <c r="A66" s="21" t="s">
        <v>703</v>
      </c>
      <c r="B66" s="24" t="s">
        <v>704</v>
      </c>
      <c r="C66" s="13">
        <v>7</v>
      </c>
      <c r="D66" s="13"/>
      <c r="E66" s="13"/>
      <c r="F66" s="13" t="s">
        <v>2131</v>
      </c>
      <c r="G66" s="13"/>
      <c r="H66" s="13" t="s">
        <v>2132</v>
      </c>
      <c r="I66" s="13"/>
      <c r="J66" s="13" t="s">
        <v>2132</v>
      </c>
      <c r="K66" s="13"/>
      <c r="L66" s="13" t="s">
        <v>2133</v>
      </c>
      <c r="M66" s="13"/>
      <c r="N66" s="13" t="s">
        <v>2134</v>
      </c>
      <c r="O66" s="13"/>
      <c r="P66" s="13" t="s">
        <v>2135</v>
      </c>
      <c r="Q66" s="13"/>
      <c r="R66" s="13" t="s">
        <v>2136</v>
      </c>
      <c r="S66" s="13"/>
      <c r="T66" s="13"/>
      <c r="U66" s="13"/>
    </row>
    <row r="67" spans="1:21" ht="15.75" customHeight="1" x14ac:dyDescent="0.2">
      <c r="A67" s="21" t="s">
        <v>1632</v>
      </c>
      <c r="B67" s="13" t="s">
        <v>1633</v>
      </c>
      <c r="C67" s="13">
        <v>4</v>
      </c>
      <c r="D67" s="13"/>
      <c r="E67" s="13"/>
      <c r="F67" s="13" t="s">
        <v>2137</v>
      </c>
      <c r="G67" s="20"/>
      <c r="H67" s="13" t="s">
        <v>2138</v>
      </c>
      <c r="I67" s="13"/>
      <c r="J67" s="13" t="s">
        <v>2139</v>
      </c>
      <c r="K67" s="13"/>
      <c r="L67" s="13" t="s">
        <v>2140</v>
      </c>
      <c r="M67" s="13"/>
      <c r="N67" s="13" t="s">
        <v>2140</v>
      </c>
      <c r="O67" s="13"/>
      <c r="P67" s="13" t="s">
        <v>2141</v>
      </c>
      <c r="Q67" s="13"/>
      <c r="R67" s="13" t="s">
        <v>2142</v>
      </c>
      <c r="S67" s="13"/>
      <c r="T67" s="13"/>
      <c r="U67" s="13"/>
    </row>
    <row r="68" spans="1:21" ht="15.75" customHeight="1" x14ac:dyDescent="0.2">
      <c r="A68" s="21" t="s">
        <v>2143</v>
      </c>
      <c r="B68" s="13" t="s">
        <v>683</v>
      </c>
      <c r="C68" s="13">
        <v>4</v>
      </c>
      <c r="D68" s="13"/>
      <c r="E68" s="13"/>
      <c r="F68" s="13" t="s">
        <v>2137</v>
      </c>
      <c r="G68" s="20"/>
      <c r="H68" s="13" t="s">
        <v>2138</v>
      </c>
      <c r="I68" s="13"/>
      <c r="J68" s="13" t="s">
        <v>2139</v>
      </c>
      <c r="K68" s="13"/>
      <c r="L68" s="13" t="s">
        <v>2144</v>
      </c>
      <c r="M68" s="13"/>
      <c r="N68" s="13" t="s">
        <v>2144</v>
      </c>
      <c r="O68" s="13"/>
      <c r="P68" s="13" t="s">
        <v>558</v>
      </c>
      <c r="Q68" s="13"/>
      <c r="R68" s="13" t="s">
        <v>2142</v>
      </c>
      <c r="S68" s="13"/>
      <c r="T68" s="13"/>
      <c r="U68" s="13"/>
    </row>
    <row r="69" spans="1:21" ht="15.75" customHeight="1" x14ac:dyDescent="0.2">
      <c r="A69" s="21" t="s">
        <v>823</v>
      </c>
      <c r="B69" s="13" t="s">
        <v>824</v>
      </c>
      <c r="C69" s="13">
        <v>4</v>
      </c>
      <c r="D69" s="13"/>
      <c r="E69" s="13"/>
      <c r="F69" s="13" t="s">
        <v>2145</v>
      </c>
      <c r="G69" s="20"/>
      <c r="H69" s="13" t="s">
        <v>2146</v>
      </c>
      <c r="I69" s="13"/>
      <c r="J69" s="13" t="s">
        <v>2146</v>
      </c>
      <c r="K69" s="13"/>
      <c r="L69" s="13" t="s">
        <v>2147</v>
      </c>
      <c r="M69" s="13"/>
      <c r="N69" s="13" t="s">
        <v>2147</v>
      </c>
      <c r="O69" s="13"/>
      <c r="P69" s="13" t="s">
        <v>2148</v>
      </c>
      <c r="Q69" s="13"/>
      <c r="R69" s="13" t="s">
        <v>2149</v>
      </c>
      <c r="S69" s="13"/>
      <c r="T69" s="13" t="s">
        <v>2150</v>
      </c>
      <c r="U69" s="13"/>
    </row>
    <row r="70" spans="1:21" ht="15.75" customHeight="1" x14ac:dyDescent="0.2">
      <c r="A70" s="21" t="s">
        <v>1215</v>
      </c>
      <c r="B70" s="13" t="s">
        <v>1216</v>
      </c>
      <c r="C70" s="13">
        <v>4</v>
      </c>
      <c r="D70" s="13"/>
      <c r="E70" s="13"/>
      <c r="F70" s="13" t="s">
        <v>1955</v>
      </c>
      <c r="G70" s="13"/>
      <c r="H70" s="13" t="s">
        <v>1955</v>
      </c>
      <c r="I70" s="13"/>
      <c r="J70" s="13" t="s">
        <v>2070</v>
      </c>
      <c r="K70" s="13"/>
      <c r="L70" s="13" t="s">
        <v>2151</v>
      </c>
      <c r="M70" s="13"/>
      <c r="N70" s="13" t="s">
        <v>2151</v>
      </c>
      <c r="O70" s="13"/>
      <c r="P70" s="13" t="s">
        <v>2152</v>
      </c>
      <c r="Q70" s="13"/>
      <c r="R70" s="13" t="s">
        <v>1992</v>
      </c>
      <c r="S70" s="13"/>
      <c r="T70" s="13" t="s">
        <v>2150</v>
      </c>
      <c r="U70" s="13"/>
    </row>
    <row r="71" spans="1:21" ht="15.75" customHeight="1" x14ac:dyDescent="0.2">
      <c r="A71" s="21" t="s">
        <v>836</v>
      </c>
      <c r="B71" s="13" t="s">
        <v>837</v>
      </c>
      <c r="C71" s="13">
        <v>4</v>
      </c>
      <c r="D71" s="13"/>
      <c r="E71" s="13"/>
      <c r="F71" s="13" t="s">
        <v>1955</v>
      </c>
      <c r="G71" s="13"/>
      <c r="H71" s="13" t="s">
        <v>1955</v>
      </c>
      <c r="I71" s="13"/>
      <c r="J71" s="13" t="s">
        <v>2070</v>
      </c>
      <c r="K71" s="13"/>
      <c r="L71" s="13" t="s">
        <v>2140</v>
      </c>
      <c r="M71" s="13"/>
      <c r="N71" s="13" t="s">
        <v>2140</v>
      </c>
      <c r="O71" s="13"/>
      <c r="P71" s="13" t="s">
        <v>2153</v>
      </c>
      <c r="Q71" s="13"/>
      <c r="R71" s="13" t="s">
        <v>2153</v>
      </c>
      <c r="S71" s="13"/>
      <c r="T71" s="13" t="s">
        <v>2150</v>
      </c>
      <c r="U71" s="13"/>
    </row>
    <row r="72" spans="1:21" ht="15.75" customHeight="1" x14ac:dyDescent="0.2">
      <c r="A72" s="21" t="s">
        <v>816</v>
      </c>
      <c r="B72" s="13" t="s">
        <v>817</v>
      </c>
      <c r="C72" s="13">
        <v>3</v>
      </c>
      <c r="D72" s="13"/>
      <c r="E72" s="13"/>
      <c r="F72" s="23" t="s">
        <v>2137</v>
      </c>
      <c r="G72" s="20"/>
      <c r="H72" s="13" t="s">
        <v>2154</v>
      </c>
      <c r="I72" s="13"/>
      <c r="J72" s="13" t="s">
        <v>2154</v>
      </c>
      <c r="K72" s="13"/>
      <c r="L72" s="13" t="s">
        <v>2144</v>
      </c>
      <c r="M72" s="13"/>
      <c r="N72" s="13" t="s">
        <v>2144</v>
      </c>
      <c r="O72" s="13"/>
      <c r="P72" s="13" t="s">
        <v>1003</v>
      </c>
      <c r="Q72" s="13"/>
      <c r="R72" s="13" t="s">
        <v>1003</v>
      </c>
      <c r="S72" s="13"/>
      <c r="T72" s="13" t="s">
        <v>2150</v>
      </c>
      <c r="U72" s="13"/>
    </row>
    <row r="73" spans="1:21" ht="15.75" customHeight="1" x14ac:dyDescent="0.2">
      <c r="A73" s="21" t="s">
        <v>682</v>
      </c>
      <c r="B73" s="13">
        <v>80413</v>
      </c>
      <c r="C73" s="13">
        <v>4</v>
      </c>
      <c r="D73" s="13"/>
      <c r="E73" s="13"/>
      <c r="F73" s="13" t="s">
        <v>2155</v>
      </c>
      <c r="G73" s="20"/>
      <c r="H73" s="13" t="s">
        <v>2138</v>
      </c>
      <c r="I73" s="13"/>
      <c r="J73" s="13" t="s">
        <v>2139</v>
      </c>
      <c r="K73" s="13"/>
      <c r="L73" s="13" t="s">
        <v>2144</v>
      </c>
      <c r="M73" s="13"/>
      <c r="N73" s="13" t="s">
        <v>2144</v>
      </c>
      <c r="O73" s="13"/>
      <c r="P73" s="13" t="s">
        <v>558</v>
      </c>
      <c r="Q73" s="13"/>
      <c r="R73" s="13" t="s">
        <v>2156</v>
      </c>
      <c r="S73" s="13"/>
      <c r="T73" s="13" t="s">
        <v>2150</v>
      </c>
      <c r="U73" s="13"/>
    </row>
    <row r="74" spans="1:21" ht="15.75" customHeight="1" x14ac:dyDescent="0.2">
      <c r="A74" s="21" t="s">
        <v>1474</v>
      </c>
      <c r="B74" s="13" t="s">
        <v>1475</v>
      </c>
      <c r="C74" s="13">
        <v>5</v>
      </c>
      <c r="D74" s="13"/>
      <c r="E74" s="13"/>
      <c r="F74" s="13" t="s">
        <v>2137</v>
      </c>
      <c r="G74" s="20"/>
      <c r="H74" s="13" t="s">
        <v>2138</v>
      </c>
      <c r="I74" s="13"/>
      <c r="J74" s="13" t="s">
        <v>2139</v>
      </c>
      <c r="K74" s="13"/>
      <c r="L74" s="13" t="s">
        <v>2140</v>
      </c>
      <c r="M74" s="13"/>
      <c r="N74" s="13" t="s">
        <v>2144</v>
      </c>
      <c r="O74" s="13"/>
      <c r="P74" s="20" t="s">
        <v>558</v>
      </c>
      <c r="Q74" s="13"/>
      <c r="R74" s="13" t="s">
        <v>2156</v>
      </c>
      <c r="S74" s="13"/>
      <c r="T74" s="13" t="s">
        <v>2150</v>
      </c>
      <c r="U74" s="13"/>
    </row>
    <row r="75" spans="1:21" ht="15.75" customHeight="1" x14ac:dyDescent="0.2">
      <c r="A75" s="21" t="s">
        <v>829</v>
      </c>
      <c r="B75" s="13" t="s">
        <v>830</v>
      </c>
      <c r="C75" s="13">
        <v>5</v>
      </c>
      <c r="D75" s="13"/>
      <c r="E75" s="13"/>
      <c r="F75" s="13" t="s">
        <v>2137</v>
      </c>
      <c r="G75" s="20"/>
      <c r="H75" s="13" t="s">
        <v>2138</v>
      </c>
      <c r="I75" s="13"/>
      <c r="J75" s="13" t="s">
        <v>2139</v>
      </c>
      <c r="K75" s="13"/>
      <c r="L75" s="13" t="s">
        <v>2140</v>
      </c>
      <c r="M75" s="13"/>
      <c r="N75" s="13" t="s">
        <v>2140</v>
      </c>
      <c r="O75" s="13"/>
      <c r="P75" s="13" t="s">
        <v>558</v>
      </c>
      <c r="Q75" s="13"/>
      <c r="R75" s="13" t="s">
        <v>2157</v>
      </c>
      <c r="S75" s="13"/>
      <c r="T75" s="13" t="s">
        <v>2150</v>
      </c>
      <c r="U75" s="13"/>
    </row>
    <row r="76" spans="1:21" ht="15.75" customHeight="1" x14ac:dyDescent="0.2">
      <c r="A76" s="21" t="s">
        <v>1916</v>
      </c>
      <c r="B76" s="13" t="s">
        <v>1917</v>
      </c>
      <c r="C76" s="13">
        <v>7</v>
      </c>
      <c r="D76" s="13"/>
      <c r="E76" s="13"/>
      <c r="F76" s="13" t="s">
        <v>2158</v>
      </c>
      <c r="G76" s="13"/>
      <c r="H76" s="13" t="s">
        <v>2138</v>
      </c>
      <c r="I76" s="13"/>
      <c r="J76" s="13" t="s">
        <v>2139</v>
      </c>
      <c r="K76" s="13"/>
      <c r="L76" s="13" t="s">
        <v>2159</v>
      </c>
      <c r="M76" s="13"/>
      <c r="N76" s="13" t="s">
        <v>2159</v>
      </c>
      <c r="O76" s="13"/>
      <c r="P76" s="13" t="s">
        <v>2160</v>
      </c>
      <c r="Q76" s="13"/>
      <c r="R76" s="13" t="s">
        <v>2160</v>
      </c>
      <c r="S76" s="13"/>
      <c r="T76" s="13" t="s">
        <v>2150</v>
      </c>
      <c r="U76" s="13"/>
    </row>
    <row r="77" spans="1:21" ht="15.75" customHeight="1" x14ac:dyDescent="0.2">
      <c r="A77" s="21" t="s">
        <v>689</v>
      </c>
      <c r="B77" s="13" t="s">
        <v>690</v>
      </c>
      <c r="C77" s="13">
        <v>6</v>
      </c>
      <c r="D77" s="13"/>
      <c r="E77" s="13"/>
      <c r="F77" s="13" t="s">
        <v>2161</v>
      </c>
      <c r="G77" s="13"/>
      <c r="H77" s="13" t="s">
        <v>2138</v>
      </c>
      <c r="I77" s="13"/>
      <c r="J77" s="13" t="s">
        <v>2139</v>
      </c>
      <c r="K77" s="13"/>
      <c r="L77" s="13" t="s">
        <v>2159</v>
      </c>
      <c r="M77" s="13"/>
      <c r="N77" s="13" t="s">
        <v>2159</v>
      </c>
      <c r="O77" s="13"/>
      <c r="P77" s="13" t="s">
        <v>2162</v>
      </c>
      <c r="Q77" s="13"/>
      <c r="R77" s="13" t="s">
        <v>2162</v>
      </c>
      <c r="S77" s="13"/>
      <c r="T77" s="13" t="s">
        <v>2150</v>
      </c>
      <c r="U77" s="13"/>
    </row>
    <row r="78" spans="1:21" ht="15.75" customHeight="1" x14ac:dyDescent="0.2">
      <c r="A78" s="21" t="s">
        <v>855</v>
      </c>
      <c r="B78" s="13" t="s">
        <v>856</v>
      </c>
      <c r="C78" s="13">
        <v>4</v>
      </c>
      <c r="D78" s="13"/>
      <c r="E78" s="13"/>
      <c r="F78" s="13" t="s">
        <v>2158</v>
      </c>
      <c r="G78" s="13"/>
      <c r="H78" s="13" t="s">
        <v>2146</v>
      </c>
      <c r="I78" s="13"/>
      <c r="J78" s="13" t="s">
        <v>2146</v>
      </c>
      <c r="K78" s="13"/>
      <c r="L78" s="13" t="s">
        <v>2159</v>
      </c>
      <c r="M78" s="13"/>
      <c r="N78" s="13" t="s">
        <v>2159</v>
      </c>
      <c r="O78" s="13"/>
      <c r="P78" s="13" t="s">
        <v>2162</v>
      </c>
      <c r="Q78" s="13"/>
      <c r="R78" s="13" t="s">
        <v>2162</v>
      </c>
      <c r="S78" s="13"/>
      <c r="T78" s="13" t="s">
        <v>2163</v>
      </c>
      <c r="U78" s="13"/>
    </row>
    <row r="79" spans="1:21" ht="15.75" customHeight="1" x14ac:dyDescent="0.2">
      <c r="A79" s="21" t="s">
        <v>2164</v>
      </c>
      <c r="B79" s="13" t="s">
        <v>1172</v>
      </c>
      <c r="C79" s="13">
        <v>4</v>
      </c>
      <c r="D79" s="13"/>
      <c r="E79" s="13"/>
      <c r="F79" s="13" t="s">
        <v>1955</v>
      </c>
      <c r="G79" s="13"/>
      <c r="H79" s="13" t="s">
        <v>1955</v>
      </c>
      <c r="I79" s="13"/>
      <c r="J79" s="13" t="s">
        <v>2070</v>
      </c>
      <c r="K79" s="13"/>
      <c r="L79" s="13" t="s">
        <v>2165</v>
      </c>
      <c r="M79" s="13"/>
      <c r="N79" s="13" t="s">
        <v>2165</v>
      </c>
      <c r="O79" s="13"/>
      <c r="P79" s="13" t="s">
        <v>2162</v>
      </c>
      <c r="Q79" s="13"/>
      <c r="R79" s="13" t="s">
        <v>2162</v>
      </c>
      <c r="S79" s="13"/>
      <c r="T79" s="13" t="s">
        <v>2163</v>
      </c>
      <c r="U79" s="13"/>
    </row>
    <row r="80" spans="1:21" ht="15.75" customHeight="1" x14ac:dyDescent="0.2">
      <c r="A80" s="21" t="s">
        <v>840</v>
      </c>
      <c r="B80" s="13" t="s">
        <v>841</v>
      </c>
      <c r="C80" s="13">
        <v>4</v>
      </c>
      <c r="D80" s="13"/>
      <c r="E80" s="13"/>
      <c r="F80" s="13" t="s">
        <v>1955</v>
      </c>
      <c r="G80" s="13"/>
      <c r="H80" s="13" t="s">
        <v>2146</v>
      </c>
      <c r="I80" s="13"/>
      <c r="J80" s="13" t="s">
        <v>2146</v>
      </c>
      <c r="K80" s="13"/>
      <c r="L80" s="13" t="s">
        <v>2159</v>
      </c>
      <c r="M80" s="13"/>
      <c r="N80" s="13" t="s">
        <v>2159</v>
      </c>
      <c r="O80" s="13"/>
      <c r="P80" s="13" t="s">
        <v>2162</v>
      </c>
      <c r="Q80" s="13"/>
      <c r="R80" s="13" t="s">
        <v>2162</v>
      </c>
      <c r="S80" s="13"/>
      <c r="T80" s="13" t="s">
        <v>2166</v>
      </c>
      <c r="U80" s="13"/>
    </row>
    <row r="81" spans="1:21" ht="15.75" customHeight="1" x14ac:dyDescent="0.2">
      <c r="A81" s="21" t="s">
        <v>831</v>
      </c>
      <c r="B81" s="13" t="s">
        <v>832</v>
      </c>
      <c r="C81" s="13">
        <v>3</v>
      </c>
      <c r="D81" s="13"/>
      <c r="E81" s="13"/>
      <c r="F81" s="13" t="s">
        <v>1955</v>
      </c>
      <c r="G81" s="13"/>
      <c r="H81" s="13" t="s">
        <v>2146</v>
      </c>
      <c r="I81" s="13"/>
      <c r="J81" s="13" t="s">
        <v>2146</v>
      </c>
      <c r="K81" s="13"/>
      <c r="L81" s="13" t="s">
        <v>2044</v>
      </c>
      <c r="M81" s="13"/>
      <c r="N81" s="13" t="s">
        <v>2088</v>
      </c>
      <c r="O81" s="13"/>
      <c r="P81" s="13" t="s">
        <v>2167</v>
      </c>
      <c r="Q81" s="13"/>
      <c r="R81" s="13" t="s">
        <v>2167</v>
      </c>
      <c r="S81" s="13"/>
      <c r="T81" s="13" t="s">
        <v>2168</v>
      </c>
      <c r="U81" s="13"/>
    </row>
    <row r="82" spans="1:21" ht="15.75" customHeight="1" x14ac:dyDescent="0.2">
      <c r="A82" s="21" t="s">
        <v>827</v>
      </c>
      <c r="B82" s="13" t="s">
        <v>828</v>
      </c>
      <c r="C82" s="13">
        <v>5</v>
      </c>
      <c r="D82" s="13"/>
      <c r="E82" s="13"/>
      <c r="F82" s="13" t="s">
        <v>2169</v>
      </c>
      <c r="G82" s="20"/>
      <c r="H82" s="13" t="s">
        <v>2169</v>
      </c>
      <c r="I82" s="13"/>
      <c r="J82" s="13" t="s">
        <v>2070</v>
      </c>
      <c r="K82" s="13"/>
      <c r="L82" s="13" t="s">
        <v>2151</v>
      </c>
      <c r="M82" s="13"/>
      <c r="N82" s="13" t="s">
        <v>2151</v>
      </c>
      <c r="O82" s="13"/>
      <c r="P82" s="13" t="s">
        <v>1991</v>
      </c>
      <c r="Q82" s="13"/>
      <c r="R82" s="13" t="s">
        <v>1991</v>
      </c>
      <c r="S82" s="13"/>
      <c r="T82" s="13" t="s">
        <v>2168</v>
      </c>
      <c r="U82" s="13"/>
    </row>
    <row r="83" spans="1:21" ht="15.75" customHeight="1" x14ac:dyDescent="0.2">
      <c r="A83" s="21" t="s">
        <v>848</v>
      </c>
      <c r="B83" s="13" t="s">
        <v>849</v>
      </c>
      <c r="C83" s="13">
        <v>7</v>
      </c>
      <c r="D83" s="13"/>
      <c r="E83" s="13"/>
      <c r="F83" s="13" t="s">
        <v>2158</v>
      </c>
      <c r="G83" s="13"/>
      <c r="H83" s="13" t="s">
        <v>2070</v>
      </c>
      <c r="I83" s="13"/>
      <c r="J83" s="13" t="s">
        <v>2070</v>
      </c>
      <c r="K83" s="13"/>
      <c r="L83" s="13" t="s">
        <v>2151</v>
      </c>
      <c r="M83" s="13"/>
      <c r="N83" s="13" t="s">
        <v>2151</v>
      </c>
      <c r="O83" s="13"/>
      <c r="P83" s="13" t="s">
        <v>2170</v>
      </c>
      <c r="Q83" s="13"/>
      <c r="R83" s="13" t="s">
        <v>2171</v>
      </c>
      <c r="S83" s="13"/>
      <c r="T83" s="13" t="s">
        <v>2099</v>
      </c>
      <c r="U83" s="13"/>
    </row>
    <row r="84" spans="1:21" ht="15.75" customHeight="1" x14ac:dyDescent="0.2">
      <c r="A84" s="21" t="s">
        <v>1030</v>
      </c>
      <c r="B84" s="13" t="s">
        <v>1031</v>
      </c>
      <c r="C84" s="13">
        <v>5</v>
      </c>
      <c r="D84" s="13"/>
      <c r="E84" s="13"/>
      <c r="F84" s="13" t="s">
        <v>2172</v>
      </c>
      <c r="G84" s="20"/>
      <c r="H84" s="13" t="s">
        <v>2172</v>
      </c>
      <c r="I84" s="13"/>
      <c r="J84" s="13" t="s">
        <v>2070</v>
      </c>
      <c r="K84" s="13"/>
      <c r="L84" s="13" t="s">
        <v>2151</v>
      </c>
      <c r="M84" s="13"/>
      <c r="N84" s="13" t="s">
        <v>2151</v>
      </c>
      <c r="O84" s="13"/>
      <c r="P84" s="13" t="s">
        <v>2152</v>
      </c>
      <c r="Q84" s="13"/>
      <c r="R84" s="13" t="s">
        <v>2173</v>
      </c>
      <c r="S84" s="13"/>
      <c r="T84" s="13" t="s">
        <v>2099</v>
      </c>
      <c r="U84" s="13"/>
    </row>
    <row r="85" spans="1:21" ht="15.75" customHeight="1" x14ac:dyDescent="0.2">
      <c r="A85" s="21" t="s">
        <v>838</v>
      </c>
      <c r="B85" s="13" t="s">
        <v>839</v>
      </c>
      <c r="C85" s="13">
        <v>4</v>
      </c>
      <c r="D85" s="13"/>
      <c r="E85" s="13"/>
      <c r="F85" s="13" t="s">
        <v>1955</v>
      </c>
      <c r="G85" s="13"/>
      <c r="H85" s="13" t="s">
        <v>1955</v>
      </c>
      <c r="I85" s="13"/>
      <c r="J85" s="13" t="s">
        <v>2070</v>
      </c>
      <c r="K85" s="13"/>
      <c r="L85" s="13" t="s">
        <v>2044</v>
      </c>
      <c r="M85" s="13"/>
      <c r="N85" s="13" t="s">
        <v>2088</v>
      </c>
      <c r="O85" s="13"/>
      <c r="P85" s="13" t="s">
        <v>2160</v>
      </c>
      <c r="Q85" s="13"/>
      <c r="R85" s="13" t="s">
        <v>2160</v>
      </c>
      <c r="S85" s="13"/>
      <c r="T85" s="13" t="s">
        <v>2099</v>
      </c>
      <c r="U85" s="13"/>
    </row>
    <row r="86" spans="1:21" ht="15.75" customHeight="1" x14ac:dyDescent="0.2">
      <c r="A86" s="21" t="s">
        <v>804</v>
      </c>
      <c r="B86" s="13" t="s">
        <v>805</v>
      </c>
      <c r="C86" s="13">
        <v>4</v>
      </c>
      <c r="D86" s="13"/>
      <c r="E86" s="13"/>
      <c r="F86" s="13" t="s">
        <v>1955</v>
      </c>
      <c r="G86" s="13"/>
      <c r="H86" s="13" t="s">
        <v>1955</v>
      </c>
      <c r="I86" s="13"/>
      <c r="J86" s="13" t="s">
        <v>2070</v>
      </c>
      <c r="K86" s="13"/>
      <c r="L86" s="13" t="s">
        <v>2044</v>
      </c>
      <c r="M86" s="13"/>
      <c r="N86" s="13" t="s">
        <v>2088</v>
      </c>
      <c r="O86" s="13"/>
      <c r="P86" s="13" t="s">
        <v>1991</v>
      </c>
      <c r="Q86" s="13"/>
      <c r="R86" s="13" t="s">
        <v>1991</v>
      </c>
      <c r="S86" s="13"/>
      <c r="T86" s="13" t="s">
        <v>2099</v>
      </c>
      <c r="U86" s="13"/>
    </row>
    <row r="87" spans="1:21" ht="15.75" customHeight="1" x14ac:dyDescent="0.2">
      <c r="A87" s="21" t="s">
        <v>821</v>
      </c>
      <c r="B87" s="13" t="s">
        <v>822</v>
      </c>
      <c r="C87" s="13">
        <v>9</v>
      </c>
      <c r="D87" s="13"/>
      <c r="E87" s="13"/>
      <c r="F87" s="13" t="s">
        <v>1955</v>
      </c>
      <c r="G87" s="13"/>
      <c r="H87" s="13" t="s">
        <v>1955</v>
      </c>
      <c r="I87" s="13"/>
      <c r="J87" s="13" t="s">
        <v>2070</v>
      </c>
      <c r="K87" s="13"/>
      <c r="L87" s="13" t="s">
        <v>2044</v>
      </c>
      <c r="M87" s="13"/>
      <c r="N87" s="13" t="s">
        <v>2088</v>
      </c>
      <c r="O87" s="13"/>
      <c r="P87" s="13" t="s">
        <v>1991</v>
      </c>
      <c r="Q87" s="13"/>
      <c r="R87" s="13" t="s">
        <v>1991</v>
      </c>
      <c r="S87" s="13"/>
      <c r="T87" s="13" t="s">
        <v>2099</v>
      </c>
      <c r="U87" s="13"/>
    </row>
    <row r="88" spans="1:21" ht="15.75" customHeight="1" x14ac:dyDescent="0.2">
      <c r="A88" s="21" t="s">
        <v>819</v>
      </c>
      <c r="B88" s="13" t="s">
        <v>820</v>
      </c>
      <c r="C88" s="13">
        <v>7</v>
      </c>
      <c r="D88" s="13"/>
      <c r="E88" s="13"/>
      <c r="F88" s="13" t="s">
        <v>2174</v>
      </c>
      <c r="G88" s="20"/>
      <c r="H88" s="13" t="s">
        <v>2146</v>
      </c>
      <c r="I88" s="13"/>
      <c r="J88" s="13" t="s">
        <v>2146</v>
      </c>
      <c r="K88" s="13"/>
      <c r="L88" s="13" t="s">
        <v>2044</v>
      </c>
      <c r="M88" s="13"/>
      <c r="N88" s="13" t="s">
        <v>2088</v>
      </c>
      <c r="O88" s="13"/>
      <c r="P88" s="13" t="s">
        <v>1991</v>
      </c>
      <c r="Q88" s="13"/>
      <c r="R88" s="13" t="s">
        <v>1991</v>
      </c>
      <c r="S88" s="13"/>
      <c r="T88" s="13" t="s">
        <v>2099</v>
      </c>
      <c r="U88" s="13"/>
    </row>
    <row r="89" spans="1:21" ht="15.75" customHeight="1" x14ac:dyDescent="0.2">
      <c r="A89" s="21" t="s">
        <v>707</v>
      </c>
      <c r="B89" s="13" t="s">
        <v>708</v>
      </c>
      <c r="C89" s="13">
        <v>5</v>
      </c>
      <c r="D89" s="13"/>
      <c r="E89" s="13"/>
      <c r="F89" s="13" t="s">
        <v>1955</v>
      </c>
      <c r="G89" s="13"/>
      <c r="H89" s="20" t="s">
        <v>2146</v>
      </c>
      <c r="I89" s="13"/>
      <c r="J89" s="20" t="s">
        <v>2146</v>
      </c>
      <c r="K89" s="20"/>
      <c r="L89" s="13" t="s">
        <v>2044</v>
      </c>
      <c r="M89" s="13"/>
      <c r="N89" s="13" t="s">
        <v>2088</v>
      </c>
      <c r="O89" s="13"/>
      <c r="P89" s="13" t="s">
        <v>1991</v>
      </c>
      <c r="Q89" s="13"/>
      <c r="R89" s="13" t="s">
        <v>1991</v>
      </c>
      <c r="S89" s="13"/>
      <c r="T89" s="13" t="s">
        <v>2099</v>
      </c>
      <c r="U89" s="13"/>
    </row>
    <row r="90" spans="1:21" ht="15.75" customHeight="1" x14ac:dyDescent="0.2">
      <c r="A90" s="21" t="s">
        <v>1914</v>
      </c>
      <c r="B90" s="13" t="s">
        <v>1915</v>
      </c>
      <c r="C90" s="13">
        <v>6</v>
      </c>
      <c r="D90" s="13"/>
      <c r="E90" s="13"/>
      <c r="F90" s="13" t="s">
        <v>1955</v>
      </c>
      <c r="G90" s="13"/>
      <c r="H90" s="13" t="s">
        <v>1955</v>
      </c>
      <c r="I90" s="13"/>
      <c r="J90" s="13" t="s">
        <v>2070</v>
      </c>
      <c r="K90" s="13"/>
      <c r="L90" s="13" t="s">
        <v>2175</v>
      </c>
      <c r="M90" s="13"/>
      <c r="N90" s="13" t="s">
        <v>2175</v>
      </c>
      <c r="O90" s="13"/>
      <c r="P90" s="13" t="s">
        <v>1991</v>
      </c>
      <c r="Q90" s="13"/>
      <c r="R90" s="13" t="s">
        <v>1991</v>
      </c>
      <c r="S90" s="13"/>
      <c r="T90" s="13" t="s">
        <v>2099</v>
      </c>
      <c r="U90" s="13"/>
    </row>
    <row r="91" spans="1:21" ht="15.75" customHeight="1" x14ac:dyDescent="0.2">
      <c r="A91" s="21" t="s">
        <v>814</v>
      </c>
      <c r="B91" s="13" t="s">
        <v>815</v>
      </c>
      <c r="C91" s="13">
        <v>4</v>
      </c>
      <c r="D91" s="13"/>
      <c r="E91" s="13"/>
      <c r="F91" s="13" t="s">
        <v>1955</v>
      </c>
      <c r="G91" s="13"/>
      <c r="H91" s="13" t="s">
        <v>1955</v>
      </c>
      <c r="I91" s="13"/>
      <c r="J91" s="13" t="s">
        <v>2070</v>
      </c>
      <c r="K91" s="13"/>
      <c r="L91" s="13" t="s">
        <v>2151</v>
      </c>
      <c r="M91" s="13"/>
      <c r="N91" s="13" t="s">
        <v>2151</v>
      </c>
      <c r="O91" s="13"/>
      <c r="P91" s="13" t="s">
        <v>1991</v>
      </c>
      <c r="Q91" s="13"/>
      <c r="R91" s="13" t="s">
        <v>1991</v>
      </c>
      <c r="S91" s="13"/>
      <c r="T91" s="13" t="s">
        <v>2099</v>
      </c>
      <c r="U91" s="13"/>
    </row>
    <row r="92" spans="1:21" ht="15.75" customHeight="1" x14ac:dyDescent="0.2">
      <c r="A92" s="21" t="s">
        <v>1177</v>
      </c>
      <c r="B92" s="13" t="s">
        <v>835</v>
      </c>
      <c r="C92" s="13">
        <v>5</v>
      </c>
      <c r="D92" s="13"/>
      <c r="E92" s="13"/>
      <c r="F92" s="13" t="s">
        <v>2131</v>
      </c>
      <c r="G92" s="13"/>
      <c r="H92" s="13" t="s">
        <v>2070</v>
      </c>
      <c r="I92" s="13"/>
      <c r="J92" s="13" t="s">
        <v>2070</v>
      </c>
      <c r="K92" s="13"/>
      <c r="L92" s="13" t="s">
        <v>2044</v>
      </c>
      <c r="M92" s="13"/>
      <c r="N92" s="13" t="s">
        <v>2088</v>
      </c>
      <c r="O92" s="13"/>
      <c r="P92" s="13" t="s">
        <v>1991</v>
      </c>
      <c r="Q92" s="13"/>
      <c r="R92" s="13" t="s">
        <v>1991</v>
      </c>
      <c r="S92" s="13"/>
      <c r="T92" s="13" t="s">
        <v>2099</v>
      </c>
      <c r="U92" s="13"/>
    </row>
    <row r="93" spans="1:21" ht="15.75" customHeight="1" x14ac:dyDescent="0.2">
      <c r="A93" s="21" t="s">
        <v>687</v>
      </c>
      <c r="B93" s="13" t="s">
        <v>688</v>
      </c>
      <c r="C93" s="13" t="s">
        <v>291</v>
      </c>
      <c r="D93" s="13"/>
      <c r="E93" s="13"/>
      <c r="F93" s="13"/>
      <c r="G93" s="13" t="s">
        <v>2176</v>
      </c>
      <c r="H93" s="20"/>
      <c r="I93" s="20" t="s">
        <v>2177</v>
      </c>
      <c r="J93" s="20" t="s">
        <v>2126</v>
      </c>
      <c r="K93" s="20"/>
      <c r="L93" s="20" t="s">
        <v>2126</v>
      </c>
      <c r="M93" s="13"/>
      <c r="N93" s="13"/>
      <c r="O93" s="13"/>
      <c r="P93" s="13"/>
      <c r="Q93" s="13" t="s">
        <v>2178</v>
      </c>
      <c r="R93" s="13"/>
      <c r="S93" s="13" t="s">
        <v>2178</v>
      </c>
      <c r="T93" s="13"/>
      <c r="U93" s="13"/>
    </row>
    <row r="94" spans="1:21" ht="15.75" customHeight="1" x14ac:dyDescent="0.2">
      <c r="A94" s="21" t="s">
        <v>2179</v>
      </c>
      <c r="B94" s="13" t="s">
        <v>1843</v>
      </c>
      <c r="C94" s="13">
        <v>4</v>
      </c>
      <c r="D94" s="13"/>
      <c r="E94" s="13"/>
      <c r="F94" s="13"/>
      <c r="G94" s="13" t="s">
        <v>2180</v>
      </c>
      <c r="H94" s="20"/>
      <c r="I94" s="13" t="s">
        <v>2181</v>
      </c>
      <c r="J94" s="13" t="s">
        <v>2182</v>
      </c>
      <c r="K94" s="13"/>
      <c r="L94" s="13" t="s">
        <v>2183</v>
      </c>
      <c r="M94" s="13"/>
      <c r="N94" s="13"/>
      <c r="O94" s="13"/>
      <c r="P94" s="13"/>
      <c r="Q94" s="13" t="s">
        <v>2178</v>
      </c>
      <c r="R94" s="13"/>
      <c r="S94" s="13" t="s">
        <v>2178</v>
      </c>
      <c r="T94" s="13"/>
      <c r="U94" s="13"/>
    </row>
    <row r="95" spans="1:21" ht="15.75" customHeight="1" x14ac:dyDescent="0.2">
      <c r="A95" s="21" t="s">
        <v>1174</v>
      </c>
      <c r="B95" s="13" t="s">
        <v>1175</v>
      </c>
      <c r="C95" s="13">
        <v>4</v>
      </c>
      <c r="D95" s="13"/>
      <c r="E95" s="13"/>
      <c r="F95" s="13" t="s">
        <v>1955</v>
      </c>
      <c r="G95" s="13"/>
      <c r="H95" s="13" t="s">
        <v>2146</v>
      </c>
      <c r="I95" s="13"/>
      <c r="J95" s="13" t="s">
        <v>2146</v>
      </c>
      <c r="K95" s="13"/>
      <c r="L95" s="13" t="s">
        <v>2184</v>
      </c>
      <c r="M95" s="13"/>
      <c r="N95" s="13" t="s">
        <v>2185</v>
      </c>
      <c r="O95" s="13"/>
      <c r="P95" s="13" t="s">
        <v>2167</v>
      </c>
      <c r="Q95" s="13"/>
      <c r="R95" s="13" t="s">
        <v>2167</v>
      </c>
      <c r="S95" s="13"/>
      <c r="T95" s="13" t="s">
        <v>2186</v>
      </c>
      <c r="U95" s="13"/>
    </row>
    <row r="96" spans="1:21" ht="15.75" customHeight="1" x14ac:dyDescent="0.2">
      <c r="A96" s="21" t="s">
        <v>1847</v>
      </c>
      <c r="B96" s="13"/>
      <c r="C96" s="13">
        <v>3</v>
      </c>
      <c r="D96" s="13"/>
      <c r="E96" s="13"/>
      <c r="F96" s="13"/>
      <c r="G96" s="13"/>
      <c r="H96" s="13"/>
      <c r="I96" s="13"/>
      <c r="J96" s="13"/>
      <c r="K96" s="13"/>
      <c r="L96" s="13"/>
      <c r="M96" s="13"/>
      <c r="N96" s="13"/>
      <c r="O96" s="13"/>
      <c r="P96" s="13"/>
      <c r="Q96" s="13" t="s">
        <v>2187</v>
      </c>
      <c r="R96" s="13"/>
      <c r="S96" s="13" t="s">
        <v>2187</v>
      </c>
      <c r="T96" s="13"/>
      <c r="U96" s="13"/>
    </row>
    <row r="97" spans="1:21" ht="15.75" customHeight="1" x14ac:dyDescent="0.2">
      <c r="A97" s="21" t="s">
        <v>131</v>
      </c>
      <c r="B97" s="13">
        <v>98659</v>
      </c>
      <c r="C97" s="13">
        <v>1</v>
      </c>
      <c r="D97" s="13"/>
      <c r="E97" s="13"/>
      <c r="F97" s="13" t="s">
        <v>2188</v>
      </c>
      <c r="G97" s="13"/>
      <c r="H97" s="13" t="s">
        <v>2189</v>
      </c>
      <c r="I97" s="13"/>
      <c r="J97" s="13" t="s">
        <v>2190</v>
      </c>
      <c r="K97" s="13"/>
      <c r="L97" s="13" t="s">
        <v>2190</v>
      </c>
      <c r="M97" s="13"/>
      <c r="N97" s="13" t="s">
        <v>2191</v>
      </c>
      <c r="O97" s="13"/>
      <c r="P97" s="13" t="s">
        <v>2191</v>
      </c>
      <c r="Q97" s="13"/>
      <c r="R97" s="13" t="s">
        <v>1958</v>
      </c>
      <c r="S97" s="13"/>
      <c r="T97" s="13" t="s">
        <v>2192</v>
      </c>
      <c r="U97" s="13"/>
    </row>
    <row r="98" spans="1:21" ht="15.75" customHeight="1" x14ac:dyDescent="0.2">
      <c r="A98" s="21" t="s">
        <v>1211</v>
      </c>
      <c r="B98" s="13" t="s">
        <v>1212</v>
      </c>
      <c r="C98" s="13">
        <v>3</v>
      </c>
      <c r="D98" s="13"/>
      <c r="E98" s="13"/>
      <c r="F98" s="13" t="s">
        <v>1955</v>
      </c>
      <c r="G98" s="13"/>
      <c r="H98" s="13" t="s">
        <v>1955</v>
      </c>
      <c r="I98" s="13"/>
      <c r="J98" s="20" t="s">
        <v>2193</v>
      </c>
      <c r="K98" s="13"/>
      <c r="L98" s="20" t="s">
        <v>2193</v>
      </c>
      <c r="M98" s="13"/>
      <c r="N98" s="13" t="s">
        <v>2088</v>
      </c>
      <c r="O98" s="13"/>
      <c r="P98" s="13" t="s">
        <v>2083</v>
      </c>
      <c r="Q98" s="13"/>
      <c r="R98" s="13" t="s">
        <v>2194</v>
      </c>
      <c r="S98" s="13"/>
      <c r="T98" s="13" t="s">
        <v>2195</v>
      </c>
      <c r="U98" s="13"/>
    </row>
    <row r="99" spans="1:21" ht="15.75" customHeight="1" x14ac:dyDescent="0.2">
      <c r="A99" s="21" t="s">
        <v>1117</v>
      </c>
      <c r="B99" s="13" t="s">
        <v>1118</v>
      </c>
      <c r="C99" s="13">
        <v>3</v>
      </c>
      <c r="D99" s="13"/>
      <c r="E99" s="13"/>
      <c r="F99" s="13" t="s">
        <v>1955</v>
      </c>
      <c r="G99" s="13"/>
      <c r="H99" s="13" t="s">
        <v>1955</v>
      </c>
      <c r="I99" s="13"/>
      <c r="J99" s="13" t="s">
        <v>2044</v>
      </c>
      <c r="K99" s="13"/>
      <c r="L99" s="13" t="s">
        <v>2044</v>
      </c>
      <c r="M99" s="13"/>
      <c r="N99" s="13" t="s">
        <v>2196</v>
      </c>
      <c r="O99" s="13"/>
      <c r="P99" s="13" t="s">
        <v>2196</v>
      </c>
      <c r="Q99" s="13"/>
      <c r="R99" s="13" t="s">
        <v>1958</v>
      </c>
      <c r="S99" s="13"/>
      <c r="T99" s="13" t="s">
        <v>2099</v>
      </c>
      <c r="U99" s="13"/>
    </row>
    <row r="100" spans="1:21" ht="15.75" customHeight="1" x14ac:dyDescent="0.2">
      <c r="A100" s="19" t="s">
        <v>773</v>
      </c>
      <c r="B100" s="13" t="s">
        <v>774</v>
      </c>
      <c r="C100" s="13">
        <v>4</v>
      </c>
      <c r="D100" s="13"/>
      <c r="E100" s="13"/>
      <c r="F100" s="13" t="s">
        <v>1955</v>
      </c>
      <c r="G100" s="13"/>
      <c r="H100" s="13" t="s">
        <v>2088</v>
      </c>
      <c r="I100" s="13"/>
      <c r="J100" s="20" t="s">
        <v>2197</v>
      </c>
      <c r="K100" s="13"/>
      <c r="L100" s="20" t="s">
        <v>2198</v>
      </c>
      <c r="M100" s="13" t="s">
        <v>2088</v>
      </c>
      <c r="N100" s="20" t="s">
        <v>2199</v>
      </c>
      <c r="O100" s="13"/>
      <c r="P100" s="20" t="s">
        <v>2199</v>
      </c>
      <c r="Q100" s="20"/>
      <c r="R100" s="13" t="s">
        <v>2200</v>
      </c>
      <c r="S100" s="20"/>
      <c r="T100" s="13" t="s">
        <v>2099</v>
      </c>
      <c r="U100" s="13"/>
    </row>
    <row r="101" spans="1:21" ht="15.75" customHeight="1" x14ac:dyDescent="0.2">
      <c r="A101" s="19" t="s">
        <v>471</v>
      </c>
      <c r="B101" s="13" t="s">
        <v>474</v>
      </c>
      <c r="C101" s="13">
        <v>3</v>
      </c>
      <c r="D101" s="13"/>
      <c r="E101" s="13"/>
      <c r="F101" s="13" t="s">
        <v>2201</v>
      </c>
      <c r="G101" s="13"/>
      <c r="H101" s="13" t="s">
        <v>2202</v>
      </c>
      <c r="I101" s="13"/>
      <c r="J101" s="13" t="s">
        <v>2203</v>
      </c>
      <c r="K101" s="13"/>
      <c r="L101" s="13" t="s">
        <v>2204</v>
      </c>
      <c r="M101" s="13"/>
      <c r="N101" s="20" t="s">
        <v>1971</v>
      </c>
      <c r="O101" s="13"/>
      <c r="P101" s="13" t="s">
        <v>2205</v>
      </c>
      <c r="Q101" s="20"/>
      <c r="R101" s="20" t="s">
        <v>2206</v>
      </c>
      <c r="S101" s="13"/>
      <c r="T101" s="13" t="s">
        <v>1954</v>
      </c>
      <c r="U101" s="20"/>
    </row>
    <row r="102" spans="1:21" ht="15.75" customHeight="1" x14ac:dyDescent="0.2">
      <c r="A102" s="19" t="s">
        <v>1110</v>
      </c>
      <c r="B102" s="13" t="s">
        <v>1111</v>
      </c>
      <c r="C102" s="13">
        <v>6</v>
      </c>
      <c r="D102" s="13"/>
      <c r="E102" s="13"/>
      <c r="F102" s="13" t="s">
        <v>2207</v>
      </c>
      <c r="G102" s="13"/>
      <c r="H102" s="13" t="s">
        <v>2208</v>
      </c>
      <c r="I102" s="13"/>
      <c r="J102" s="13" t="s">
        <v>2209</v>
      </c>
      <c r="K102" s="13"/>
      <c r="L102" s="13" t="s">
        <v>1950</v>
      </c>
      <c r="M102" s="13"/>
      <c r="N102" s="20" t="s">
        <v>2210</v>
      </c>
      <c r="O102" s="13"/>
      <c r="P102" s="20" t="s">
        <v>2211</v>
      </c>
      <c r="Q102" s="20"/>
      <c r="R102" s="20" t="s">
        <v>2212</v>
      </c>
      <c r="S102" s="20"/>
      <c r="T102" s="13" t="s">
        <v>2213</v>
      </c>
      <c r="U102" s="20"/>
    </row>
    <row r="103" spans="1:21" ht="15.75" customHeight="1" x14ac:dyDescent="0.2">
      <c r="A103" s="19" t="s">
        <v>1470</v>
      </c>
      <c r="B103" s="13" t="s">
        <v>1471</v>
      </c>
      <c r="C103" s="13">
        <v>4</v>
      </c>
      <c r="D103" s="13"/>
      <c r="E103" s="13"/>
      <c r="F103" s="13" t="s">
        <v>2214</v>
      </c>
      <c r="G103" s="13"/>
      <c r="H103" s="13" t="s">
        <v>2215</v>
      </c>
      <c r="I103" s="13"/>
      <c r="J103" s="13" t="s">
        <v>2216</v>
      </c>
      <c r="K103" s="13"/>
      <c r="L103" s="13"/>
      <c r="M103" s="13"/>
      <c r="N103" s="20" t="s">
        <v>2210</v>
      </c>
      <c r="O103" s="13"/>
      <c r="P103" s="13" t="s">
        <v>2217</v>
      </c>
      <c r="Q103" s="20"/>
      <c r="R103" s="20" t="s">
        <v>2212</v>
      </c>
      <c r="S103" s="13"/>
      <c r="T103" s="13" t="s">
        <v>2218</v>
      </c>
      <c r="U103" s="20"/>
    </row>
    <row r="104" spans="1:21" ht="15.75" customHeight="1" x14ac:dyDescent="0.2">
      <c r="A104" s="19" t="s">
        <v>290</v>
      </c>
      <c r="B104" s="13" t="s">
        <v>297</v>
      </c>
      <c r="C104" s="13">
        <v>5</v>
      </c>
      <c r="D104" s="13"/>
      <c r="E104" s="13"/>
      <c r="F104" s="13" t="s">
        <v>1960</v>
      </c>
      <c r="G104" s="13"/>
      <c r="H104" s="13" t="s">
        <v>1960</v>
      </c>
      <c r="I104" s="13"/>
      <c r="J104" s="13" t="s">
        <v>2190</v>
      </c>
      <c r="K104" s="13"/>
      <c r="L104" s="13" t="s">
        <v>2190</v>
      </c>
      <c r="M104" s="13"/>
      <c r="N104" s="20" t="s">
        <v>2219</v>
      </c>
      <c r="O104" s="13"/>
      <c r="P104" s="13" t="s">
        <v>2211</v>
      </c>
      <c r="Q104" s="20"/>
      <c r="R104" s="13" t="s">
        <v>2220</v>
      </c>
      <c r="S104" s="13"/>
      <c r="T104" s="13" t="s">
        <v>2220</v>
      </c>
      <c r="U104" s="13"/>
    </row>
    <row r="105" spans="1:21" ht="15.75" customHeight="1" x14ac:dyDescent="0.2">
      <c r="A105" s="19" t="s">
        <v>1586</v>
      </c>
      <c r="B105" s="13" t="s">
        <v>1587</v>
      </c>
      <c r="C105" s="13">
        <v>3</v>
      </c>
      <c r="D105" s="13"/>
      <c r="E105" s="13"/>
      <c r="F105" s="13" t="s">
        <v>2201</v>
      </c>
      <c r="G105" s="13"/>
      <c r="H105" s="13" t="s">
        <v>2221</v>
      </c>
      <c r="I105" s="13"/>
      <c r="J105" s="13" t="s">
        <v>2222</v>
      </c>
      <c r="K105" s="13"/>
      <c r="L105" s="13" t="s">
        <v>2222</v>
      </c>
      <c r="M105" s="13"/>
      <c r="N105" s="20" t="s">
        <v>2223</v>
      </c>
      <c r="O105" s="13"/>
      <c r="P105" s="13" t="s">
        <v>2224</v>
      </c>
      <c r="Q105" s="20"/>
      <c r="R105" s="13" t="s">
        <v>2220</v>
      </c>
      <c r="S105" s="13"/>
      <c r="T105" s="13" t="s">
        <v>2220</v>
      </c>
      <c r="U105" s="13"/>
    </row>
    <row r="106" spans="1:21" ht="15.75" customHeight="1" x14ac:dyDescent="0.2">
      <c r="A106" s="19" t="s">
        <v>1910</v>
      </c>
      <c r="B106" s="13" t="s">
        <v>1911</v>
      </c>
      <c r="C106" s="13">
        <v>4</v>
      </c>
      <c r="D106" s="13"/>
      <c r="E106" s="13"/>
      <c r="F106" s="13" t="s">
        <v>2201</v>
      </c>
      <c r="G106" s="13"/>
      <c r="H106" s="13" t="s">
        <v>2221</v>
      </c>
      <c r="I106" s="13"/>
      <c r="J106" s="13" t="s">
        <v>2222</v>
      </c>
      <c r="K106" s="13"/>
      <c r="L106" s="13" t="s">
        <v>2222</v>
      </c>
      <c r="M106" s="13"/>
      <c r="N106" s="20" t="s">
        <v>2219</v>
      </c>
      <c r="O106" s="13"/>
      <c r="P106" s="20" t="s">
        <v>2225</v>
      </c>
      <c r="Q106" s="20"/>
      <c r="R106" s="13" t="s">
        <v>2220</v>
      </c>
      <c r="S106" s="20"/>
      <c r="T106" s="13" t="s">
        <v>2220</v>
      </c>
      <c r="U106" s="13"/>
    </row>
    <row r="107" spans="1:21" ht="15.75" customHeight="1" x14ac:dyDescent="0.2">
      <c r="A107" s="19" t="s">
        <v>1198</v>
      </c>
      <c r="B107" s="13" t="s">
        <v>1199</v>
      </c>
      <c r="C107" s="13">
        <v>2</v>
      </c>
      <c r="D107" s="13"/>
      <c r="E107" s="13"/>
      <c r="F107" s="13" t="s">
        <v>2037</v>
      </c>
      <c r="G107" s="13"/>
      <c r="H107" s="13" t="s">
        <v>2037</v>
      </c>
      <c r="I107" s="13"/>
      <c r="J107" s="13" t="s">
        <v>2190</v>
      </c>
      <c r="K107" s="13"/>
      <c r="L107" s="13" t="s">
        <v>2190</v>
      </c>
      <c r="M107" s="13"/>
      <c r="N107" s="20" t="s">
        <v>2226</v>
      </c>
      <c r="O107" s="13"/>
      <c r="P107" s="20" t="s">
        <v>2226</v>
      </c>
      <c r="Q107" s="20"/>
      <c r="R107" s="13" t="s">
        <v>2227</v>
      </c>
      <c r="S107" s="20"/>
      <c r="T107" s="13" t="s">
        <v>2227</v>
      </c>
      <c r="U107" s="13"/>
    </row>
    <row r="108" spans="1:21" ht="15.75" customHeight="1" x14ac:dyDescent="0.2">
      <c r="A108" s="19" t="s">
        <v>85</v>
      </c>
      <c r="B108" s="13" t="s">
        <v>713</v>
      </c>
      <c r="C108" s="13">
        <v>2</v>
      </c>
      <c r="D108" s="13"/>
      <c r="E108" s="13"/>
      <c r="F108" s="13" t="s">
        <v>2201</v>
      </c>
      <c r="G108" s="13"/>
      <c r="H108" s="13" t="s">
        <v>2228</v>
      </c>
      <c r="I108" s="13"/>
      <c r="J108" s="13" t="s">
        <v>2229</v>
      </c>
      <c r="K108" s="13"/>
      <c r="L108" s="13" t="s">
        <v>2229</v>
      </c>
      <c r="M108" s="13"/>
      <c r="N108" s="13" t="s">
        <v>2230</v>
      </c>
      <c r="O108" s="13"/>
      <c r="P108" s="13" t="s">
        <v>2230</v>
      </c>
      <c r="Q108" s="13"/>
      <c r="R108" s="13" t="s">
        <v>2231</v>
      </c>
      <c r="S108" s="13"/>
      <c r="T108" s="13" t="s">
        <v>2231</v>
      </c>
      <c r="U108" s="13"/>
    </row>
    <row r="109" spans="1:21" ht="15.75" customHeight="1" x14ac:dyDescent="0.2">
      <c r="A109" s="19" t="s">
        <v>775</v>
      </c>
      <c r="B109" s="13" t="s">
        <v>776</v>
      </c>
      <c r="C109" s="13">
        <v>1</v>
      </c>
      <c r="D109" s="13"/>
      <c r="E109" s="13"/>
      <c r="F109" s="13" t="s">
        <v>1955</v>
      </c>
      <c r="G109" s="13"/>
      <c r="H109" s="13" t="s">
        <v>1955</v>
      </c>
      <c r="I109" s="13"/>
      <c r="J109" s="13" t="s">
        <v>2044</v>
      </c>
      <c r="K109" s="13"/>
      <c r="L109" s="13" t="s">
        <v>2044</v>
      </c>
      <c r="M109" s="13"/>
      <c r="N109" s="13" t="s">
        <v>2232</v>
      </c>
      <c r="O109" s="13"/>
      <c r="P109" s="13" t="s">
        <v>2230</v>
      </c>
      <c r="Q109" s="13"/>
      <c r="R109" s="13" t="s">
        <v>2233</v>
      </c>
      <c r="S109" s="13"/>
      <c r="T109" s="13" t="s">
        <v>2233</v>
      </c>
      <c r="U109" s="13"/>
    </row>
    <row r="110" spans="1:21" ht="15.75" customHeight="1" x14ac:dyDescent="0.2">
      <c r="A110" s="19" t="s">
        <v>1920</v>
      </c>
      <c r="B110" s="13" t="s">
        <v>1921</v>
      </c>
      <c r="C110" s="13">
        <v>1</v>
      </c>
      <c r="D110" s="13"/>
      <c r="E110" s="13"/>
      <c r="F110" s="13" t="s">
        <v>1955</v>
      </c>
      <c r="G110" s="13"/>
      <c r="H110" s="13" t="s">
        <v>1955</v>
      </c>
      <c r="I110" s="13"/>
      <c r="J110" s="20" t="s">
        <v>2193</v>
      </c>
      <c r="K110" s="13"/>
      <c r="L110" s="20" t="s">
        <v>2193</v>
      </c>
      <c r="M110" s="13"/>
      <c r="N110" s="13" t="s">
        <v>2234</v>
      </c>
      <c r="O110" s="13"/>
      <c r="P110" s="20" t="s">
        <v>2235</v>
      </c>
      <c r="Q110" s="13"/>
      <c r="R110" s="13" t="s">
        <v>1992</v>
      </c>
      <c r="S110" s="13"/>
      <c r="T110" s="13" t="s">
        <v>1992</v>
      </c>
      <c r="U110" s="13"/>
    </row>
    <row r="111" spans="1:21" ht="15.75" customHeight="1" x14ac:dyDescent="0.2">
      <c r="A111" s="19" t="s">
        <v>2236</v>
      </c>
      <c r="B111" s="13" t="s">
        <v>666</v>
      </c>
      <c r="C111" s="13">
        <v>4</v>
      </c>
      <c r="D111" s="13"/>
      <c r="E111" s="13"/>
      <c r="F111" s="13" t="s">
        <v>2201</v>
      </c>
      <c r="G111" s="13"/>
      <c r="H111" s="13" t="s">
        <v>2237</v>
      </c>
      <c r="I111" s="13"/>
      <c r="J111" s="13" t="s">
        <v>2238</v>
      </c>
      <c r="K111" s="13"/>
      <c r="L111" s="13" t="s">
        <v>2239</v>
      </c>
      <c r="M111" s="13"/>
      <c r="N111" s="13" t="s">
        <v>2230</v>
      </c>
      <c r="O111" s="13"/>
      <c r="P111" s="13" t="s">
        <v>2230</v>
      </c>
      <c r="Q111" s="13"/>
      <c r="R111" s="13" t="s">
        <v>1992</v>
      </c>
      <c r="S111" s="13"/>
      <c r="T111" s="13" t="s">
        <v>1992</v>
      </c>
      <c r="U111" s="13"/>
    </row>
    <row r="112" spans="1:21" ht="15.75" customHeight="1" x14ac:dyDescent="0.2">
      <c r="A112" s="19" t="s">
        <v>761</v>
      </c>
      <c r="B112" s="13" t="s">
        <v>762</v>
      </c>
      <c r="C112" s="13">
        <v>3</v>
      </c>
      <c r="D112" s="13"/>
      <c r="E112" s="13"/>
      <c r="F112" s="13" t="s">
        <v>2240</v>
      </c>
      <c r="G112" s="13"/>
      <c r="H112" s="13" t="s">
        <v>2240</v>
      </c>
      <c r="I112" s="13"/>
      <c r="J112" s="13" t="s">
        <v>2044</v>
      </c>
      <c r="K112" s="13"/>
      <c r="L112" s="13" t="s">
        <v>2044</v>
      </c>
      <c r="M112" s="13"/>
      <c r="N112" s="13" t="s">
        <v>2088</v>
      </c>
      <c r="O112" s="13"/>
      <c r="P112" s="13" t="s">
        <v>2083</v>
      </c>
      <c r="Q112" s="13"/>
      <c r="R112" s="13" t="s">
        <v>1992</v>
      </c>
      <c r="S112" s="13"/>
      <c r="T112" s="13" t="s">
        <v>1992</v>
      </c>
      <c r="U112" s="13"/>
    </row>
    <row r="113" spans="1:21" ht="15.75" customHeight="1" x14ac:dyDescent="0.2">
      <c r="A113" s="19" t="s">
        <v>438</v>
      </c>
      <c r="B113" s="13" t="s">
        <v>439</v>
      </c>
      <c r="C113" s="13">
        <v>4</v>
      </c>
      <c r="D113" s="13"/>
      <c r="E113" s="13"/>
      <c r="F113" s="13"/>
      <c r="G113" s="20"/>
      <c r="H113" s="20"/>
      <c r="I113" s="13"/>
      <c r="J113" s="13"/>
      <c r="K113" s="13"/>
      <c r="L113" s="13"/>
      <c r="M113" s="13"/>
      <c r="N113" s="13" t="s">
        <v>2083</v>
      </c>
      <c r="O113" s="13"/>
      <c r="P113" s="13" t="s">
        <v>2083</v>
      </c>
      <c r="Q113" s="13"/>
      <c r="R113" s="13" t="s">
        <v>1992</v>
      </c>
      <c r="S113" s="13"/>
      <c r="T113" s="13" t="s">
        <v>1992</v>
      </c>
      <c r="U113" s="13"/>
    </row>
    <row r="114" spans="1:21" ht="15.75" customHeight="1" x14ac:dyDescent="0.2">
      <c r="A114" s="19" t="s">
        <v>1113</v>
      </c>
      <c r="B114" s="13" t="s">
        <v>1114</v>
      </c>
      <c r="C114" s="13">
        <v>3</v>
      </c>
      <c r="D114" s="13"/>
      <c r="E114" s="13"/>
      <c r="F114" s="13" t="s">
        <v>1955</v>
      </c>
      <c r="G114" s="13"/>
      <c r="H114" s="13" t="s">
        <v>1955</v>
      </c>
      <c r="I114" s="13"/>
      <c r="J114" s="13" t="s">
        <v>2044</v>
      </c>
      <c r="K114" s="13"/>
      <c r="L114" s="13" t="s">
        <v>2044</v>
      </c>
      <c r="M114" s="13"/>
      <c r="N114" s="13" t="s">
        <v>2088</v>
      </c>
      <c r="O114" s="13"/>
      <c r="P114" s="13" t="s">
        <v>2083</v>
      </c>
      <c r="Q114" s="13"/>
      <c r="R114" s="13" t="s">
        <v>1992</v>
      </c>
      <c r="S114" s="13"/>
      <c r="T114" s="13" t="s">
        <v>2241</v>
      </c>
      <c r="U114" s="13"/>
    </row>
    <row r="115" spans="1:21" ht="15.75" customHeight="1" x14ac:dyDescent="0.2">
      <c r="A115" s="19" t="s">
        <v>553</v>
      </c>
      <c r="B115" s="13" t="s">
        <v>555</v>
      </c>
      <c r="C115" s="13">
        <v>4</v>
      </c>
      <c r="D115" s="13"/>
      <c r="E115" s="13"/>
      <c r="F115" s="13" t="s">
        <v>2037</v>
      </c>
      <c r="G115" s="13"/>
      <c r="H115" s="13" t="s">
        <v>2037</v>
      </c>
      <c r="I115" s="13"/>
      <c r="J115" s="13" t="s">
        <v>2242</v>
      </c>
      <c r="K115" s="13"/>
      <c r="L115" s="13" t="s">
        <v>2242</v>
      </c>
      <c r="M115" s="13"/>
      <c r="N115" s="13" t="s">
        <v>2243</v>
      </c>
      <c r="O115" s="13"/>
      <c r="P115" s="13" t="s">
        <v>2243</v>
      </c>
      <c r="Q115" s="13"/>
      <c r="R115" s="13" t="s">
        <v>2194</v>
      </c>
      <c r="S115" s="13"/>
      <c r="T115" s="13" t="s">
        <v>2244</v>
      </c>
      <c r="U115" s="13"/>
    </row>
    <row r="116" spans="1:21" ht="15.75" customHeight="1" x14ac:dyDescent="0.2">
      <c r="A116" s="19" t="s">
        <v>812</v>
      </c>
      <c r="B116" s="13"/>
      <c r="C116" s="13">
        <v>4</v>
      </c>
      <c r="D116" s="13"/>
      <c r="E116" s="13"/>
      <c r="F116" s="13"/>
      <c r="G116" s="13"/>
      <c r="H116" s="13"/>
      <c r="I116" s="13"/>
      <c r="J116" s="13"/>
      <c r="K116" s="13"/>
      <c r="L116" s="13"/>
      <c r="M116" s="13"/>
      <c r="N116" s="13"/>
      <c r="O116" s="13"/>
      <c r="P116" s="13"/>
      <c r="Q116" s="13" t="s">
        <v>1943</v>
      </c>
      <c r="R116" s="13"/>
      <c r="S116" s="13" t="s">
        <v>1943</v>
      </c>
      <c r="T116" s="13"/>
      <c r="U116" s="13"/>
    </row>
    <row r="117" spans="1:21" ht="15.75" customHeight="1" x14ac:dyDescent="0.2">
      <c r="A117" s="19" t="s">
        <v>845</v>
      </c>
      <c r="B117" s="13"/>
      <c r="C117" s="13">
        <v>3</v>
      </c>
      <c r="D117" s="13"/>
      <c r="E117" s="13"/>
      <c r="F117" s="13"/>
      <c r="G117" s="13"/>
      <c r="H117" s="13"/>
      <c r="I117" s="13"/>
      <c r="J117" s="13"/>
      <c r="K117" s="13"/>
      <c r="L117" s="13"/>
      <c r="M117" s="13"/>
      <c r="N117" s="13"/>
      <c r="O117" s="13"/>
      <c r="P117" s="13"/>
      <c r="Q117" s="13" t="s">
        <v>2245</v>
      </c>
      <c r="R117" s="13" t="s">
        <v>2171</v>
      </c>
      <c r="S117" s="13" t="s">
        <v>2245</v>
      </c>
      <c r="T117" s="13" t="s">
        <v>2171</v>
      </c>
      <c r="U117" s="13"/>
    </row>
    <row r="118" spans="1:21" ht="15.75" customHeight="1" x14ac:dyDescent="0.2">
      <c r="A118" s="19" t="s">
        <v>1630</v>
      </c>
      <c r="B118" s="13" t="s">
        <v>1631</v>
      </c>
      <c r="C118" s="13">
        <v>8</v>
      </c>
      <c r="D118" s="13"/>
      <c r="E118" s="13"/>
      <c r="F118" s="13" t="s">
        <v>2246</v>
      </c>
      <c r="G118" s="20"/>
      <c r="H118" s="13" t="s">
        <v>2246</v>
      </c>
      <c r="I118" s="13"/>
      <c r="J118" s="13" t="s">
        <v>2247</v>
      </c>
      <c r="K118" s="13"/>
      <c r="L118" s="13"/>
      <c r="M118" s="13"/>
      <c r="N118" s="13" t="s">
        <v>2248</v>
      </c>
      <c r="O118" s="13"/>
      <c r="P118" s="13" t="s">
        <v>2249</v>
      </c>
      <c r="Q118" s="13"/>
      <c r="R118" s="13" t="s">
        <v>2250</v>
      </c>
      <c r="S118" s="13"/>
      <c r="T118" s="13" t="s">
        <v>2251</v>
      </c>
      <c r="U118" s="13"/>
    </row>
    <row r="119" spans="1:21" ht="15.75" customHeight="1" x14ac:dyDescent="0.2">
      <c r="A119" s="19" t="s">
        <v>1918</v>
      </c>
      <c r="B119" s="13" t="s">
        <v>1919</v>
      </c>
      <c r="C119" s="13">
        <v>4</v>
      </c>
      <c r="D119" s="13"/>
      <c r="E119" s="13"/>
      <c r="F119" s="13" t="s">
        <v>2252</v>
      </c>
      <c r="G119" s="20"/>
      <c r="H119" s="13" t="s">
        <v>2252</v>
      </c>
      <c r="I119" s="13"/>
      <c r="J119" s="13" t="s">
        <v>2253</v>
      </c>
      <c r="K119" s="13"/>
      <c r="L119" s="13" t="s">
        <v>2253</v>
      </c>
      <c r="M119" s="13"/>
      <c r="N119" s="13" t="s">
        <v>2248</v>
      </c>
      <c r="O119" s="13"/>
      <c r="P119" s="20" t="s">
        <v>2225</v>
      </c>
      <c r="Q119" s="20"/>
      <c r="R119" s="20" t="s">
        <v>2254</v>
      </c>
      <c r="S119" s="20"/>
      <c r="T119" s="13" t="s">
        <v>2186</v>
      </c>
      <c r="U119" s="13"/>
    </row>
    <row r="120" spans="1:21" ht="15.75" customHeight="1" x14ac:dyDescent="0.2">
      <c r="A120" s="19" t="s">
        <v>705</v>
      </c>
      <c r="B120" s="13" t="s">
        <v>706</v>
      </c>
      <c r="C120" s="13">
        <v>7</v>
      </c>
      <c r="D120" s="13"/>
      <c r="E120" s="13"/>
      <c r="F120" s="13" t="s">
        <v>2255</v>
      </c>
      <c r="G120" s="20"/>
      <c r="H120" s="13" t="s">
        <v>2255</v>
      </c>
      <c r="I120" s="13"/>
      <c r="J120" s="13" t="s">
        <v>2253</v>
      </c>
      <c r="K120" s="13"/>
      <c r="L120" s="13" t="s">
        <v>2253</v>
      </c>
      <c r="M120" s="13"/>
      <c r="N120" s="20" t="s">
        <v>2248</v>
      </c>
      <c r="O120" s="13"/>
      <c r="P120" s="20" t="s">
        <v>2225</v>
      </c>
      <c r="Q120" s="20"/>
      <c r="R120" s="13" t="s">
        <v>2254</v>
      </c>
      <c r="S120" s="20"/>
      <c r="T120" s="13" t="s">
        <v>2163</v>
      </c>
      <c r="U120" s="13"/>
    </row>
    <row r="121" spans="1:21" ht="15.75" customHeight="1" x14ac:dyDescent="0.2">
      <c r="A121" s="19" t="s">
        <v>850</v>
      </c>
      <c r="B121" s="13" t="s">
        <v>851</v>
      </c>
      <c r="C121" s="13">
        <v>4</v>
      </c>
      <c r="D121" s="13"/>
      <c r="E121" s="13"/>
      <c r="F121" s="25" t="s">
        <v>2256</v>
      </c>
      <c r="G121" s="20"/>
      <c r="H121" s="25" t="s">
        <v>2256</v>
      </c>
      <c r="I121" s="13"/>
      <c r="J121" s="13" t="s">
        <v>2257</v>
      </c>
      <c r="K121" s="13"/>
      <c r="L121" s="13" t="s">
        <v>2258</v>
      </c>
      <c r="M121" s="13"/>
      <c r="N121" s="13" t="s">
        <v>2259</v>
      </c>
      <c r="O121" s="13"/>
      <c r="P121" s="20" t="s">
        <v>2260</v>
      </c>
      <c r="Q121" s="20"/>
      <c r="R121" s="13" t="s">
        <v>2254</v>
      </c>
      <c r="S121" s="20"/>
      <c r="T121" s="13" t="s">
        <v>2261</v>
      </c>
      <c r="U121" s="13"/>
    </row>
    <row r="122" spans="1:21" ht="15.75" customHeight="1" x14ac:dyDescent="0.2">
      <c r="A122" s="19" t="s">
        <v>1714</v>
      </c>
      <c r="B122" s="13" t="s">
        <v>1715</v>
      </c>
      <c r="C122" s="13">
        <v>7</v>
      </c>
      <c r="D122" s="13"/>
      <c r="E122" s="13"/>
      <c r="F122" s="13" t="s">
        <v>2262</v>
      </c>
      <c r="G122" s="20"/>
      <c r="H122" s="13" t="s">
        <v>2255</v>
      </c>
      <c r="I122" s="13"/>
      <c r="J122" s="13" t="s">
        <v>2253</v>
      </c>
      <c r="K122" s="13"/>
      <c r="L122" s="13" t="s">
        <v>2253</v>
      </c>
      <c r="M122" s="13"/>
      <c r="N122" s="20" t="s">
        <v>2263</v>
      </c>
      <c r="O122" s="13"/>
      <c r="P122" s="20" t="s">
        <v>2264</v>
      </c>
      <c r="Q122" s="20"/>
      <c r="R122" s="13" t="s">
        <v>2265</v>
      </c>
      <c r="S122" s="20"/>
      <c r="T122" s="13" t="s">
        <v>2265</v>
      </c>
      <c r="U122" s="13"/>
    </row>
    <row r="123" spans="1:21" ht="15.75" customHeight="1" x14ac:dyDescent="0.2">
      <c r="A123" s="19" t="s">
        <v>691</v>
      </c>
      <c r="B123" s="13" t="s">
        <v>692</v>
      </c>
      <c r="C123" s="13">
        <v>5</v>
      </c>
      <c r="D123" s="13"/>
      <c r="E123" s="13"/>
      <c r="F123" s="13" t="s">
        <v>2246</v>
      </c>
      <c r="G123" s="20"/>
      <c r="H123" s="13" t="s">
        <v>2246</v>
      </c>
      <c r="I123" s="13"/>
      <c r="J123" s="13" t="s">
        <v>2253</v>
      </c>
      <c r="K123" s="13"/>
      <c r="L123" s="13" t="s">
        <v>2253</v>
      </c>
      <c r="M123" s="13"/>
      <c r="N123" s="20" t="s">
        <v>2266</v>
      </c>
      <c r="O123" s="13"/>
      <c r="P123" s="20" t="s">
        <v>2266</v>
      </c>
      <c r="Q123" s="20"/>
      <c r="R123" s="20" t="s">
        <v>2265</v>
      </c>
      <c r="S123" s="20"/>
      <c r="T123" s="13" t="s">
        <v>2265</v>
      </c>
      <c r="U123" s="13"/>
    </row>
    <row r="124" spans="1:21" ht="15.75" customHeight="1" x14ac:dyDescent="0.2">
      <c r="A124" s="19" t="s">
        <v>684</v>
      </c>
      <c r="B124" s="13" t="s">
        <v>685</v>
      </c>
      <c r="C124" s="13">
        <v>5</v>
      </c>
      <c r="D124" s="13"/>
      <c r="E124" s="13"/>
      <c r="F124" s="13" t="s">
        <v>2246</v>
      </c>
      <c r="G124" s="20"/>
      <c r="H124" s="13" t="s">
        <v>2246</v>
      </c>
      <c r="I124" s="13"/>
      <c r="J124" s="13" t="s">
        <v>2253</v>
      </c>
      <c r="K124" s="13"/>
      <c r="L124" s="13" t="s">
        <v>2253</v>
      </c>
      <c r="M124" s="13"/>
      <c r="N124" s="13" t="s">
        <v>1943</v>
      </c>
      <c r="O124" s="13"/>
      <c r="P124" s="13" t="s">
        <v>1943</v>
      </c>
      <c r="Q124" s="13"/>
      <c r="R124" s="13" t="s">
        <v>2265</v>
      </c>
      <c r="S124" s="13"/>
      <c r="T124" s="13" t="s">
        <v>2265</v>
      </c>
      <c r="U124" s="13"/>
    </row>
    <row r="125" spans="1:21" ht="15.75" customHeight="1" x14ac:dyDescent="0.2">
      <c r="A125" s="19" t="s">
        <v>128</v>
      </c>
      <c r="B125" s="13">
        <v>30561</v>
      </c>
      <c r="C125" s="13">
        <v>5</v>
      </c>
      <c r="D125" s="13"/>
      <c r="E125" s="13"/>
      <c r="F125" s="13" t="s">
        <v>2246</v>
      </c>
      <c r="G125" s="20"/>
      <c r="H125" s="13" t="s">
        <v>2246</v>
      </c>
      <c r="I125" s="13"/>
      <c r="J125" s="13" t="s">
        <v>2253</v>
      </c>
      <c r="K125" s="13"/>
      <c r="L125" s="13" t="s">
        <v>2253</v>
      </c>
      <c r="M125" s="13"/>
      <c r="N125" s="13" t="s">
        <v>1943</v>
      </c>
      <c r="O125" s="13"/>
      <c r="P125" s="13" t="s">
        <v>1943</v>
      </c>
      <c r="Q125" s="13"/>
      <c r="R125" s="13" t="s">
        <v>2265</v>
      </c>
      <c r="S125" s="13"/>
      <c r="T125" s="13" t="s">
        <v>2265</v>
      </c>
      <c r="U125" s="13"/>
    </row>
    <row r="126" spans="1:21" ht="15.75" customHeight="1" x14ac:dyDescent="0.2">
      <c r="A126" s="19" t="s">
        <v>2267</v>
      </c>
      <c r="B126" s="13" t="s">
        <v>2268</v>
      </c>
      <c r="C126" s="13">
        <v>6</v>
      </c>
      <c r="D126" s="13"/>
      <c r="E126" s="13"/>
      <c r="F126" s="13" t="s">
        <v>1955</v>
      </c>
      <c r="G126" s="13"/>
      <c r="H126" s="13" t="s">
        <v>1955</v>
      </c>
      <c r="I126" s="13"/>
      <c r="J126" s="13" t="s">
        <v>2044</v>
      </c>
      <c r="K126" s="13"/>
      <c r="L126" s="13" t="s">
        <v>2044</v>
      </c>
      <c r="M126" s="13"/>
      <c r="N126" s="13" t="s">
        <v>2269</v>
      </c>
      <c r="O126" s="13"/>
      <c r="P126" s="13" t="s">
        <v>2269</v>
      </c>
      <c r="Q126" s="13"/>
      <c r="R126" s="13" t="s">
        <v>2270</v>
      </c>
      <c r="S126" s="13"/>
      <c r="T126" s="13" t="s">
        <v>2270</v>
      </c>
      <c r="U126" s="13"/>
    </row>
    <row r="127" spans="1:21" ht="15.75" customHeight="1" x14ac:dyDescent="0.2">
      <c r="A127" s="19" t="s">
        <v>846</v>
      </c>
      <c r="B127" s="13" t="s">
        <v>847</v>
      </c>
      <c r="C127" s="13">
        <v>3</v>
      </c>
      <c r="D127" s="13"/>
      <c r="E127" s="13"/>
      <c r="F127" s="13" t="s">
        <v>1955</v>
      </c>
      <c r="G127" s="13"/>
      <c r="H127" s="13" t="s">
        <v>1955</v>
      </c>
      <c r="I127" s="13"/>
      <c r="J127" s="13" t="s">
        <v>2044</v>
      </c>
      <c r="K127" s="13"/>
      <c r="L127" s="13" t="s">
        <v>2044</v>
      </c>
      <c r="M127" s="13"/>
      <c r="N127" s="13" t="s">
        <v>2088</v>
      </c>
      <c r="O127" s="13"/>
      <c r="P127" s="13" t="s">
        <v>2083</v>
      </c>
      <c r="Q127" s="13"/>
      <c r="R127" s="13" t="s">
        <v>2271</v>
      </c>
      <c r="S127" s="13"/>
      <c r="T127" s="13" t="s">
        <v>2271</v>
      </c>
      <c r="U127" s="13"/>
    </row>
    <row r="128" spans="1:21" ht="15.75" customHeight="1" x14ac:dyDescent="0.2">
      <c r="A128" s="19" t="s">
        <v>2272</v>
      </c>
      <c r="B128" s="13" t="s">
        <v>844</v>
      </c>
      <c r="C128" s="13">
        <v>5</v>
      </c>
      <c r="D128" s="13"/>
      <c r="E128" s="13"/>
      <c r="F128" s="13" t="s">
        <v>1955</v>
      </c>
      <c r="G128" s="13"/>
      <c r="H128" s="13" t="s">
        <v>1955</v>
      </c>
      <c r="I128" s="13"/>
      <c r="J128" s="13" t="s">
        <v>2273</v>
      </c>
      <c r="K128" s="13"/>
      <c r="L128" s="13" t="s">
        <v>2258</v>
      </c>
      <c r="M128" s="13"/>
      <c r="N128" s="20" t="s">
        <v>2266</v>
      </c>
      <c r="O128" s="13"/>
      <c r="P128" s="20" t="s">
        <v>2266</v>
      </c>
      <c r="Q128" s="20"/>
      <c r="R128" s="13" t="s">
        <v>1992</v>
      </c>
      <c r="S128" s="20"/>
      <c r="T128" s="13" t="s">
        <v>1992</v>
      </c>
      <c r="U128" s="13"/>
    </row>
    <row r="129" spans="1:21" ht="15.75" customHeight="1" x14ac:dyDescent="0.2">
      <c r="A129" s="19" t="s">
        <v>857</v>
      </c>
      <c r="B129" s="13" t="s">
        <v>858</v>
      </c>
      <c r="C129" s="13">
        <v>5</v>
      </c>
      <c r="D129" s="13"/>
      <c r="E129" s="13"/>
      <c r="F129" s="13" t="s">
        <v>1955</v>
      </c>
      <c r="G129" s="13"/>
      <c r="H129" s="13" t="s">
        <v>1955</v>
      </c>
      <c r="I129" s="13"/>
      <c r="J129" s="13" t="s">
        <v>2273</v>
      </c>
      <c r="K129" s="13"/>
      <c r="L129" s="13" t="s">
        <v>2258</v>
      </c>
      <c r="M129" s="13"/>
      <c r="N129" s="13" t="s">
        <v>1943</v>
      </c>
      <c r="O129" s="13"/>
      <c r="P129" s="13" t="s">
        <v>1943</v>
      </c>
      <c r="Q129" s="13"/>
      <c r="R129" s="13" t="s">
        <v>2274</v>
      </c>
      <c r="S129" s="13"/>
      <c r="T129" s="13" t="s">
        <v>2274</v>
      </c>
      <c r="U129" s="13"/>
    </row>
    <row r="130" spans="1:21" ht="15.75" customHeight="1" x14ac:dyDescent="0.2">
      <c r="A130" s="19" t="s">
        <v>1845</v>
      </c>
      <c r="B130" s="13" t="s">
        <v>1846</v>
      </c>
      <c r="C130" s="13">
        <v>1</v>
      </c>
      <c r="D130" s="13"/>
      <c r="E130" s="13"/>
      <c r="F130" s="13"/>
      <c r="G130" s="13"/>
      <c r="H130" s="13" t="s">
        <v>2061</v>
      </c>
      <c r="I130" s="13" t="s">
        <v>2275</v>
      </c>
      <c r="J130" s="13"/>
      <c r="K130" s="13" t="s">
        <v>2276</v>
      </c>
      <c r="L130" s="20" t="s">
        <v>2277</v>
      </c>
      <c r="M130" s="13" t="s">
        <v>2278</v>
      </c>
      <c r="N130" s="13"/>
      <c r="O130" s="13" t="s">
        <v>2278</v>
      </c>
      <c r="P130" s="13"/>
      <c r="Q130" s="13" t="s">
        <v>2279</v>
      </c>
      <c r="R130" s="13"/>
      <c r="S130" s="13" t="s">
        <v>2279</v>
      </c>
      <c r="T130" s="13"/>
      <c r="U130" s="13"/>
    </row>
    <row r="131" spans="1:21" ht="15.75" customHeight="1" x14ac:dyDescent="0.2">
      <c r="A131" s="19" t="s">
        <v>1873</v>
      </c>
      <c r="B131" s="13" t="s">
        <v>1874</v>
      </c>
      <c r="C131" s="13">
        <v>2</v>
      </c>
      <c r="D131" s="13"/>
      <c r="E131" s="13"/>
      <c r="F131" s="13"/>
      <c r="G131" s="13" t="s">
        <v>2280</v>
      </c>
      <c r="H131" s="13" t="s">
        <v>2281</v>
      </c>
      <c r="I131" s="13" t="s">
        <v>2282</v>
      </c>
      <c r="J131" s="13"/>
      <c r="K131" s="13" t="s">
        <v>2283</v>
      </c>
      <c r="L131" s="13" t="s">
        <v>2284</v>
      </c>
      <c r="M131" s="13"/>
      <c r="N131" s="13" t="s">
        <v>1945</v>
      </c>
      <c r="O131" s="13"/>
      <c r="P131" s="13" t="s">
        <v>1945</v>
      </c>
      <c r="Q131" s="13"/>
      <c r="R131" s="13" t="s">
        <v>1999</v>
      </c>
      <c r="S131" s="13" t="s">
        <v>2285</v>
      </c>
      <c r="T131" s="13" t="s">
        <v>2286</v>
      </c>
      <c r="U131" s="13"/>
    </row>
    <row r="132" spans="1:21" ht="15.75" customHeight="1" x14ac:dyDescent="0.2">
      <c r="A132" s="19" t="s">
        <v>1197</v>
      </c>
      <c r="B132" s="13"/>
      <c r="C132" s="13">
        <v>1</v>
      </c>
      <c r="D132" s="13"/>
      <c r="E132" s="13"/>
      <c r="F132" s="13"/>
      <c r="G132" s="13"/>
      <c r="H132" s="13"/>
      <c r="I132" s="13"/>
      <c r="J132" s="13"/>
      <c r="K132" s="13"/>
      <c r="L132" s="13"/>
      <c r="M132" s="13"/>
      <c r="N132" s="13" t="s">
        <v>2287</v>
      </c>
      <c r="O132" s="13"/>
      <c r="P132" s="13" t="s">
        <v>2288</v>
      </c>
      <c r="Q132" s="13"/>
      <c r="R132" s="13" t="s">
        <v>2289</v>
      </c>
      <c r="S132" s="13"/>
      <c r="T132" s="13" t="s">
        <v>2289</v>
      </c>
      <c r="U132" s="13"/>
    </row>
    <row r="133" spans="1:21" ht="15.75" customHeight="1" x14ac:dyDescent="0.2">
      <c r="A133" s="19" t="s">
        <v>1485</v>
      </c>
      <c r="B133" s="13" t="s">
        <v>1486</v>
      </c>
      <c r="C133" s="13">
        <v>5</v>
      </c>
      <c r="D133" s="13"/>
      <c r="E133" s="13"/>
      <c r="F133" s="13" t="s">
        <v>2290</v>
      </c>
      <c r="G133" s="13"/>
      <c r="H133" s="13" t="s">
        <v>2291</v>
      </c>
      <c r="I133" s="13"/>
      <c r="J133" s="13" t="s">
        <v>1961</v>
      </c>
      <c r="K133" s="13"/>
      <c r="L133" s="13" t="s">
        <v>2292</v>
      </c>
      <c r="M133" s="13"/>
      <c r="N133" s="13" t="s">
        <v>2293</v>
      </c>
      <c r="O133" s="13"/>
      <c r="P133" s="20" t="s">
        <v>2294</v>
      </c>
      <c r="Q133" s="13"/>
      <c r="R133" s="13" t="s">
        <v>2022</v>
      </c>
      <c r="S133" s="13"/>
      <c r="T133" s="13" t="s">
        <v>1954</v>
      </c>
      <c r="U133" s="13"/>
    </row>
    <row r="134" spans="1:21" ht="15.75" customHeight="1" x14ac:dyDescent="0.2">
      <c r="A134" s="19" t="s">
        <v>1207</v>
      </c>
      <c r="B134" s="13" t="s">
        <v>1208</v>
      </c>
      <c r="C134" s="13">
        <v>3</v>
      </c>
      <c r="D134" s="13"/>
      <c r="E134" s="13"/>
      <c r="F134" s="13" t="s">
        <v>1955</v>
      </c>
      <c r="G134" s="13"/>
      <c r="H134" s="13" t="s">
        <v>1955</v>
      </c>
      <c r="I134" s="13"/>
      <c r="J134" s="13" t="s">
        <v>1956</v>
      </c>
      <c r="K134" s="13"/>
      <c r="L134" s="13" t="s">
        <v>1962</v>
      </c>
      <c r="M134" s="13"/>
      <c r="N134" s="13" t="s">
        <v>2293</v>
      </c>
      <c r="O134" s="13"/>
      <c r="P134" s="13" t="s">
        <v>2295</v>
      </c>
      <c r="Q134" s="13"/>
      <c r="R134" s="13" t="s">
        <v>2296</v>
      </c>
      <c r="S134" s="13"/>
      <c r="T134" s="13" t="s">
        <v>1954</v>
      </c>
      <c r="U134" s="13"/>
    </row>
    <row r="135" spans="1:21" ht="15.75" customHeight="1" x14ac:dyDescent="0.2">
      <c r="A135" s="19" t="s">
        <v>767</v>
      </c>
      <c r="B135" s="13" t="s">
        <v>768</v>
      </c>
      <c r="C135" s="13">
        <v>6</v>
      </c>
      <c r="D135" s="13"/>
      <c r="E135" s="13"/>
      <c r="F135" s="13"/>
      <c r="G135" s="23" t="s">
        <v>2124</v>
      </c>
      <c r="H135" s="20"/>
      <c r="I135" s="23" t="s">
        <v>2125</v>
      </c>
      <c r="J135" s="20" t="s">
        <v>2297</v>
      </c>
      <c r="K135" s="23"/>
      <c r="L135" s="20" t="s">
        <v>2126</v>
      </c>
      <c r="M135" s="13"/>
      <c r="N135" s="20" t="s">
        <v>1957</v>
      </c>
      <c r="O135" s="13"/>
      <c r="P135" s="20" t="s">
        <v>1957</v>
      </c>
      <c r="Q135" s="20"/>
      <c r="R135" s="13" t="s">
        <v>1992</v>
      </c>
      <c r="S135" s="20"/>
      <c r="T135" s="13" t="s">
        <v>1992</v>
      </c>
      <c r="U135" s="13"/>
    </row>
    <row r="136" spans="1:21" ht="15.75" customHeight="1" x14ac:dyDescent="0.2">
      <c r="A136" s="19" t="s">
        <v>723</v>
      </c>
      <c r="B136" s="13" t="s">
        <v>2298</v>
      </c>
      <c r="C136" s="13">
        <v>3</v>
      </c>
      <c r="D136" s="13"/>
      <c r="E136" s="13"/>
      <c r="F136" s="13" t="s">
        <v>1955</v>
      </c>
      <c r="G136" s="13"/>
      <c r="H136" s="13" t="s">
        <v>1955</v>
      </c>
      <c r="I136" s="13"/>
      <c r="J136" s="13" t="s">
        <v>2299</v>
      </c>
      <c r="K136" s="13"/>
      <c r="L136" s="13" t="s">
        <v>2299</v>
      </c>
      <c r="M136" s="13"/>
      <c r="N136" s="20" t="s">
        <v>1957</v>
      </c>
      <c r="O136" s="13"/>
      <c r="P136" s="20" t="s">
        <v>1957</v>
      </c>
      <c r="Q136" s="20"/>
      <c r="R136" s="13" t="s">
        <v>1992</v>
      </c>
      <c r="S136" s="20"/>
      <c r="T136" s="13" t="s">
        <v>1992</v>
      </c>
      <c r="U136" s="13"/>
    </row>
    <row r="137" spans="1:21" ht="15.75" customHeight="1" x14ac:dyDescent="0.2">
      <c r="A137" s="19" t="s">
        <v>732</v>
      </c>
      <c r="B137" s="13" t="s">
        <v>733</v>
      </c>
      <c r="C137" s="13">
        <v>7</v>
      </c>
      <c r="D137" s="13"/>
      <c r="E137" s="13"/>
      <c r="F137" s="13" t="s">
        <v>1955</v>
      </c>
      <c r="G137" s="13" t="s">
        <v>1955</v>
      </c>
      <c r="H137" s="13" t="s">
        <v>1955</v>
      </c>
      <c r="I137" s="13"/>
      <c r="J137" s="13" t="s">
        <v>2299</v>
      </c>
      <c r="K137" s="13"/>
      <c r="L137" s="13" t="s">
        <v>2299</v>
      </c>
      <c r="M137" s="13"/>
      <c r="N137" s="13" t="s">
        <v>2088</v>
      </c>
      <c r="O137" s="13"/>
      <c r="P137" s="13" t="s">
        <v>2083</v>
      </c>
      <c r="Q137" s="13"/>
      <c r="R137" s="13" t="s">
        <v>1992</v>
      </c>
      <c r="S137" s="13"/>
      <c r="T137" s="13" t="s">
        <v>1992</v>
      </c>
      <c r="U137" s="13"/>
    </row>
    <row r="138" spans="1:21" ht="15.75" customHeight="1" x14ac:dyDescent="0.2">
      <c r="A138" s="19" t="s">
        <v>677</v>
      </c>
      <c r="B138" s="13" t="s">
        <v>678</v>
      </c>
      <c r="C138" s="13">
        <v>2</v>
      </c>
      <c r="D138" s="13"/>
      <c r="E138" s="13"/>
      <c r="F138" s="13" t="s">
        <v>1955</v>
      </c>
      <c r="G138" s="13"/>
      <c r="H138" s="13" t="s">
        <v>1955</v>
      </c>
      <c r="I138" s="13"/>
      <c r="J138" s="13" t="s">
        <v>2044</v>
      </c>
      <c r="K138" s="13"/>
      <c r="L138" s="13" t="s">
        <v>2044</v>
      </c>
      <c r="M138" s="13"/>
      <c r="N138" s="13" t="s">
        <v>2088</v>
      </c>
      <c r="O138" s="13"/>
      <c r="P138" s="13" t="s">
        <v>2083</v>
      </c>
      <c r="Q138" s="13"/>
      <c r="R138" s="13" t="s">
        <v>1992</v>
      </c>
      <c r="S138" s="13"/>
      <c r="T138" s="13" t="s">
        <v>1992</v>
      </c>
      <c r="U138" s="13"/>
    </row>
    <row r="139" spans="1:21" ht="15.75" customHeight="1" x14ac:dyDescent="0.2">
      <c r="A139" s="19" t="s">
        <v>719</v>
      </c>
      <c r="B139" s="13" t="s">
        <v>720</v>
      </c>
      <c r="C139" s="13">
        <v>4</v>
      </c>
      <c r="D139" s="13"/>
      <c r="E139" s="13"/>
      <c r="F139" s="13" t="s">
        <v>1955</v>
      </c>
      <c r="G139" s="13"/>
      <c r="H139" s="13" t="s">
        <v>1955</v>
      </c>
      <c r="I139" s="13"/>
      <c r="J139" s="13" t="s">
        <v>2044</v>
      </c>
      <c r="K139" s="13"/>
      <c r="L139" s="13" t="s">
        <v>2044</v>
      </c>
      <c r="M139" s="13"/>
      <c r="N139" s="13" t="s">
        <v>2088</v>
      </c>
      <c r="O139" s="13"/>
      <c r="P139" s="13" t="s">
        <v>2083</v>
      </c>
      <c r="Q139" s="13"/>
      <c r="R139" s="13" t="s">
        <v>1992</v>
      </c>
      <c r="S139" s="13"/>
      <c r="T139" s="13" t="s">
        <v>1992</v>
      </c>
      <c r="U139" s="13"/>
    </row>
    <row r="140" spans="1:21" ht="15.75" customHeight="1" x14ac:dyDescent="0.2">
      <c r="A140" s="19" t="s">
        <v>663</v>
      </c>
      <c r="B140" s="13" t="s">
        <v>665</v>
      </c>
      <c r="C140" s="13">
        <v>1</v>
      </c>
      <c r="D140" s="13"/>
      <c r="E140" s="13"/>
      <c r="F140" s="13" t="s">
        <v>1960</v>
      </c>
      <c r="G140" s="13"/>
      <c r="H140" s="13" t="s">
        <v>1960</v>
      </c>
      <c r="I140" s="13"/>
      <c r="J140" s="13" t="s">
        <v>2044</v>
      </c>
      <c r="K140" s="13"/>
      <c r="L140" s="13" t="s">
        <v>2044</v>
      </c>
      <c r="M140" s="13"/>
      <c r="N140" s="13" t="s">
        <v>2088</v>
      </c>
      <c r="O140" s="13"/>
      <c r="P140" s="13" t="s">
        <v>2083</v>
      </c>
      <c r="Q140" s="13"/>
      <c r="R140" s="13" t="s">
        <v>1992</v>
      </c>
      <c r="S140" s="13"/>
      <c r="T140" s="13" t="s">
        <v>1992</v>
      </c>
      <c r="U140" s="13"/>
    </row>
    <row r="141" spans="1:21" ht="15.75" customHeight="1" x14ac:dyDescent="0.2">
      <c r="A141" s="19" t="s">
        <v>782</v>
      </c>
      <c r="B141" s="13" t="s">
        <v>783</v>
      </c>
      <c r="C141" s="13">
        <v>4</v>
      </c>
      <c r="D141" s="13"/>
      <c r="E141" s="13"/>
      <c r="F141" s="13" t="s">
        <v>1955</v>
      </c>
      <c r="G141" s="13"/>
      <c r="H141" s="13" t="s">
        <v>1955</v>
      </c>
      <c r="I141" s="13"/>
      <c r="J141" s="13" t="s">
        <v>2044</v>
      </c>
      <c r="K141" s="13"/>
      <c r="L141" s="13" t="s">
        <v>2044</v>
      </c>
      <c r="M141" s="13"/>
      <c r="N141" s="13" t="s">
        <v>2088</v>
      </c>
      <c r="O141" s="13"/>
      <c r="P141" s="13" t="s">
        <v>2083</v>
      </c>
      <c r="Q141" s="13"/>
      <c r="R141" s="13" t="s">
        <v>1992</v>
      </c>
      <c r="S141" s="13"/>
      <c r="T141" s="13" t="s">
        <v>1992</v>
      </c>
      <c r="U141" s="13"/>
    </row>
    <row r="142" spans="1:21" ht="15.75" customHeight="1" x14ac:dyDescent="0.2">
      <c r="A142" s="19" t="s">
        <v>764</v>
      </c>
      <c r="B142" s="13" t="s">
        <v>765</v>
      </c>
      <c r="C142" s="13">
        <v>1</v>
      </c>
      <c r="D142" s="13"/>
      <c r="E142" s="13"/>
      <c r="F142" s="13" t="s">
        <v>1955</v>
      </c>
      <c r="G142" s="13"/>
      <c r="H142" s="13" t="s">
        <v>1955</v>
      </c>
      <c r="I142" s="13"/>
      <c r="J142" s="20" t="s">
        <v>2300</v>
      </c>
      <c r="K142" s="13"/>
      <c r="L142" s="20" t="s">
        <v>2300</v>
      </c>
      <c r="M142" s="13"/>
      <c r="N142" s="13" t="s">
        <v>2301</v>
      </c>
      <c r="O142" s="13"/>
      <c r="P142" s="13" t="s">
        <v>2301</v>
      </c>
      <c r="Q142" s="13"/>
      <c r="R142" s="13" t="s">
        <v>1992</v>
      </c>
      <c r="S142" s="13"/>
      <c r="T142" s="13" t="s">
        <v>1992</v>
      </c>
      <c r="U142" s="13"/>
    </row>
    <row r="143" spans="1:21" ht="15.75" customHeight="1" x14ac:dyDescent="0.2">
      <c r="A143" s="19" t="s">
        <v>2302</v>
      </c>
      <c r="B143" s="13"/>
      <c r="C143" s="13">
        <v>5</v>
      </c>
      <c r="D143" s="13"/>
      <c r="E143" s="13"/>
      <c r="F143" s="13"/>
      <c r="G143" s="13"/>
      <c r="H143" s="13"/>
      <c r="I143" s="13"/>
      <c r="J143" s="13"/>
      <c r="K143" s="13"/>
      <c r="L143" s="13"/>
      <c r="M143" s="13"/>
      <c r="N143" s="13" t="s">
        <v>2185</v>
      </c>
      <c r="O143" s="13"/>
      <c r="P143" s="13" t="s">
        <v>1991</v>
      </c>
      <c r="Q143" s="13"/>
      <c r="R143" s="20" t="s">
        <v>1992</v>
      </c>
      <c r="S143" s="13"/>
      <c r="T143" s="20" t="s">
        <v>1992</v>
      </c>
      <c r="U143" s="20"/>
    </row>
    <row r="144" spans="1:21" ht="15.75" customHeight="1" x14ac:dyDescent="0.2">
      <c r="A144" s="19" t="s">
        <v>700</v>
      </c>
      <c r="B144" s="13" t="s">
        <v>701</v>
      </c>
      <c r="C144" s="13">
        <v>5</v>
      </c>
      <c r="D144" s="13"/>
      <c r="E144" s="13"/>
      <c r="F144" s="13" t="s">
        <v>2246</v>
      </c>
      <c r="G144" s="20"/>
      <c r="H144" s="13" t="s">
        <v>2246</v>
      </c>
      <c r="I144" s="13"/>
      <c r="J144" s="13" t="s">
        <v>2273</v>
      </c>
      <c r="K144" s="13"/>
      <c r="L144" s="13" t="s">
        <v>2258</v>
      </c>
      <c r="M144" s="13"/>
      <c r="N144" s="20" t="s">
        <v>2266</v>
      </c>
      <c r="O144" s="13"/>
      <c r="P144" s="20" t="s">
        <v>2266</v>
      </c>
      <c r="Q144" s="20"/>
      <c r="R144" s="13" t="s">
        <v>2254</v>
      </c>
      <c r="S144" s="20"/>
      <c r="T144" s="13" t="s">
        <v>2163</v>
      </c>
      <c r="U144" s="13"/>
    </row>
    <row r="145" spans="1:21" ht="15.75" customHeight="1" x14ac:dyDescent="0.2">
      <c r="A145" s="19" t="s">
        <v>334</v>
      </c>
      <c r="B145" s="13" t="s">
        <v>335</v>
      </c>
      <c r="C145" s="13">
        <v>5</v>
      </c>
      <c r="D145" s="13"/>
      <c r="E145" s="13"/>
      <c r="F145" s="13" t="s">
        <v>2303</v>
      </c>
      <c r="G145" s="20"/>
      <c r="H145" s="13" t="s">
        <v>2215</v>
      </c>
      <c r="I145" s="13"/>
      <c r="J145" s="13" t="s">
        <v>2304</v>
      </c>
      <c r="K145" s="13"/>
      <c r="L145" s="13" t="s">
        <v>2305</v>
      </c>
      <c r="M145" s="13"/>
      <c r="N145" s="13" t="s">
        <v>2248</v>
      </c>
      <c r="O145" s="13"/>
      <c r="P145" s="13" t="s">
        <v>2083</v>
      </c>
      <c r="Q145" s="13"/>
      <c r="R145" s="13" t="s">
        <v>2254</v>
      </c>
      <c r="S145" s="13"/>
      <c r="T145" s="13" t="s">
        <v>2099</v>
      </c>
      <c r="U145" s="13"/>
    </row>
    <row r="146" spans="1:21" ht="15.75" customHeight="1" x14ac:dyDescent="0.2">
      <c r="A146" s="19" t="s">
        <v>802</v>
      </c>
      <c r="B146" s="13" t="s">
        <v>803</v>
      </c>
      <c r="C146" s="13">
        <v>1</v>
      </c>
      <c r="D146" s="13"/>
      <c r="E146" s="13"/>
      <c r="F146" s="13" t="s">
        <v>1955</v>
      </c>
      <c r="G146" s="13"/>
      <c r="H146" s="13" t="s">
        <v>1955</v>
      </c>
      <c r="I146" s="13"/>
      <c r="J146" s="13" t="s">
        <v>2044</v>
      </c>
      <c r="K146" s="13"/>
      <c r="L146" s="13" t="s">
        <v>2044</v>
      </c>
      <c r="M146" s="13"/>
      <c r="N146" s="13" t="s">
        <v>2306</v>
      </c>
      <c r="O146" s="13"/>
      <c r="P146" s="13" t="s">
        <v>2306</v>
      </c>
      <c r="Q146" s="13"/>
      <c r="R146" s="13" t="s">
        <v>1992</v>
      </c>
      <c r="S146" s="13"/>
      <c r="T146" s="13" t="s">
        <v>1992</v>
      </c>
      <c r="U146" s="13"/>
    </row>
    <row r="147" spans="1:21" ht="15.75" customHeight="1" x14ac:dyDescent="0.2">
      <c r="A147" s="19" t="s">
        <v>825</v>
      </c>
      <c r="B147" s="13" t="s">
        <v>826</v>
      </c>
      <c r="C147" s="13">
        <v>4</v>
      </c>
      <c r="D147" s="13"/>
      <c r="E147" s="13"/>
      <c r="F147" s="13" t="s">
        <v>2252</v>
      </c>
      <c r="G147" s="20"/>
      <c r="H147" s="13" t="s">
        <v>2252</v>
      </c>
      <c r="I147" s="13"/>
      <c r="J147" s="13" t="s">
        <v>2044</v>
      </c>
      <c r="K147" s="13"/>
      <c r="L147" s="13" t="s">
        <v>2044</v>
      </c>
      <c r="M147" s="13"/>
      <c r="N147" s="13" t="s">
        <v>1943</v>
      </c>
      <c r="O147" s="13"/>
      <c r="P147" s="13" t="s">
        <v>1943</v>
      </c>
      <c r="Q147" s="13"/>
      <c r="R147" s="13" t="s">
        <v>1992</v>
      </c>
      <c r="S147" s="13"/>
      <c r="T147" s="13" t="s">
        <v>1992</v>
      </c>
      <c r="U147" s="13"/>
    </row>
    <row r="148" spans="1:21" ht="15.75" customHeight="1" x14ac:dyDescent="0.2">
      <c r="A148" s="19" t="s">
        <v>800</v>
      </c>
      <c r="B148" s="13" t="s">
        <v>801</v>
      </c>
      <c r="C148" s="13">
        <v>6</v>
      </c>
      <c r="D148" s="13"/>
      <c r="E148" s="13"/>
      <c r="F148" s="13" t="s">
        <v>1955</v>
      </c>
      <c r="G148" s="13"/>
      <c r="H148" s="13" t="s">
        <v>1955</v>
      </c>
      <c r="I148" s="13"/>
      <c r="J148" s="13" t="s">
        <v>2044</v>
      </c>
      <c r="K148" s="13"/>
      <c r="L148" s="13" t="s">
        <v>2044</v>
      </c>
      <c r="M148" s="13"/>
      <c r="N148" s="13" t="s">
        <v>1943</v>
      </c>
      <c r="O148" s="13"/>
      <c r="P148" s="13" t="s">
        <v>1943</v>
      </c>
      <c r="Q148" s="13"/>
      <c r="R148" s="13" t="s">
        <v>1992</v>
      </c>
      <c r="S148" s="13"/>
      <c r="T148" s="13" t="s">
        <v>1992</v>
      </c>
      <c r="U148" s="13"/>
    </row>
    <row r="149" spans="1:21" ht="15.75" customHeight="1" x14ac:dyDescent="0.2">
      <c r="A149" s="19" t="s">
        <v>810</v>
      </c>
      <c r="B149" s="13" t="s">
        <v>811</v>
      </c>
      <c r="C149" s="13">
        <v>5</v>
      </c>
      <c r="D149" s="13"/>
      <c r="E149" s="13"/>
      <c r="F149" s="13" t="s">
        <v>2252</v>
      </c>
      <c r="G149" s="20"/>
      <c r="H149" s="13" t="s">
        <v>2252</v>
      </c>
      <c r="I149" s="13"/>
      <c r="J149" s="13" t="s">
        <v>2044</v>
      </c>
      <c r="K149" s="13"/>
      <c r="L149" s="13" t="s">
        <v>2044</v>
      </c>
      <c r="M149" s="13"/>
      <c r="N149" s="13" t="s">
        <v>2088</v>
      </c>
      <c r="O149" s="13"/>
      <c r="P149" s="13" t="s">
        <v>2083</v>
      </c>
      <c r="Q149" s="13"/>
      <c r="R149" s="13" t="s">
        <v>1992</v>
      </c>
      <c r="S149" s="13"/>
      <c r="T149" s="13" t="s">
        <v>1992</v>
      </c>
      <c r="U149" s="13"/>
    </row>
    <row r="150" spans="1:21" ht="15.75" customHeight="1" x14ac:dyDescent="0.2">
      <c r="A150" s="19" t="s">
        <v>842</v>
      </c>
      <c r="B150" s="13" t="s">
        <v>843</v>
      </c>
      <c r="C150" s="13">
        <v>4</v>
      </c>
      <c r="D150" s="13"/>
      <c r="E150" s="13"/>
      <c r="F150" s="13" t="s">
        <v>2307</v>
      </c>
      <c r="G150" s="20"/>
      <c r="H150" s="13" t="s">
        <v>2307</v>
      </c>
      <c r="I150" s="13"/>
      <c r="J150" s="13" t="s">
        <v>2044</v>
      </c>
      <c r="K150" s="13"/>
      <c r="L150" s="13" t="s">
        <v>2044</v>
      </c>
      <c r="M150" s="13"/>
      <c r="N150" s="13" t="s">
        <v>2088</v>
      </c>
      <c r="O150" s="13"/>
      <c r="P150" s="13" t="s">
        <v>2083</v>
      </c>
      <c r="Q150" s="13"/>
      <c r="R150" s="13" t="s">
        <v>1992</v>
      </c>
      <c r="S150" s="13"/>
      <c r="T150" s="13" t="s">
        <v>1992</v>
      </c>
      <c r="U150" s="13"/>
    </row>
    <row r="151" spans="1:21" ht="15.75" customHeight="1" x14ac:dyDescent="0.2">
      <c r="A151" s="19" t="s">
        <v>859</v>
      </c>
      <c r="B151" s="13" t="s">
        <v>860</v>
      </c>
      <c r="C151" s="13">
        <v>4</v>
      </c>
      <c r="D151" s="13"/>
      <c r="E151" s="13"/>
      <c r="F151" s="13" t="s">
        <v>1955</v>
      </c>
      <c r="G151" s="13"/>
      <c r="H151" s="13" t="s">
        <v>1955</v>
      </c>
      <c r="I151" s="13"/>
      <c r="J151" s="13" t="s">
        <v>2044</v>
      </c>
      <c r="K151" s="13"/>
      <c r="L151" s="13" t="s">
        <v>2044</v>
      </c>
      <c r="M151" s="13"/>
      <c r="N151" s="13" t="s">
        <v>2083</v>
      </c>
      <c r="O151" s="13"/>
      <c r="P151" s="13" t="s">
        <v>2083</v>
      </c>
      <c r="Q151" s="13"/>
      <c r="R151" s="13" t="s">
        <v>1992</v>
      </c>
      <c r="S151" s="13"/>
      <c r="T151" s="13" t="s">
        <v>1992</v>
      </c>
      <c r="U151" s="13"/>
    </row>
    <row r="152" spans="1:21" ht="15.75" customHeight="1" x14ac:dyDescent="0.2">
      <c r="A152" s="19" t="s">
        <v>1026</v>
      </c>
      <c r="B152" s="13" t="s">
        <v>1027</v>
      </c>
      <c r="C152" s="13">
        <v>5</v>
      </c>
      <c r="D152" s="13"/>
      <c r="E152" s="13"/>
      <c r="F152" s="25" t="s">
        <v>2308</v>
      </c>
      <c r="G152" s="20"/>
      <c r="H152" s="25" t="s">
        <v>2309</v>
      </c>
      <c r="I152" s="13"/>
      <c r="J152" s="13" t="s">
        <v>2044</v>
      </c>
      <c r="K152" s="13"/>
      <c r="L152" s="13" t="s">
        <v>2044</v>
      </c>
      <c r="M152" s="13"/>
      <c r="N152" s="13" t="s">
        <v>2088</v>
      </c>
      <c r="O152" s="13"/>
      <c r="P152" s="13" t="s">
        <v>2083</v>
      </c>
      <c r="Q152" s="13"/>
      <c r="R152" s="13" t="s">
        <v>1992</v>
      </c>
      <c r="S152" s="13"/>
      <c r="T152" s="13" t="s">
        <v>2241</v>
      </c>
      <c r="U152" s="13"/>
    </row>
    <row r="153" spans="1:21" ht="15.75" customHeight="1" x14ac:dyDescent="0.2">
      <c r="A153" s="19" t="s">
        <v>806</v>
      </c>
      <c r="B153" s="13" t="s">
        <v>807</v>
      </c>
      <c r="C153" s="13">
        <v>4</v>
      </c>
      <c r="D153" s="13" t="s">
        <v>870</v>
      </c>
      <c r="E153" s="13"/>
      <c r="F153" s="13"/>
      <c r="G153" s="13"/>
      <c r="H153" s="13" t="s">
        <v>2281</v>
      </c>
      <c r="I153" s="13" t="s">
        <v>2310</v>
      </c>
      <c r="J153" s="13"/>
      <c r="K153" s="13" t="s">
        <v>2310</v>
      </c>
      <c r="L153" s="13"/>
      <c r="M153" s="13"/>
      <c r="N153" s="13"/>
      <c r="O153" s="13" t="s">
        <v>2311</v>
      </c>
      <c r="P153" s="13"/>
      <c r="Q153" s="13" t="s">
        <v>2312</v>
      </c>
      <c r="R153" s="13"/>
      <c r="S153" s="13" t="s">
        <v>2312</v>
      </c>
      <c r="T153" s="13"/>
      <c r="U153" s="13"/>
    </row>
    <row r="154" spans="1:21" ht="15.75" customHeight="1" x14ac:dyDescent="0.2">
      <c r="A154" s="19" t="s">
        <v>1476</v>
      </c>
      <c r="B154" s="13" t="s">
        <v>1477</v>
      </c>
      <c r="C154" s="13">
        <v>3</v>
      </c>
      <c r="D154" s="13"/>
      <c r="E154" s="13"/>
      <c r="F154" s="13"/>
      <c r="G154" s="13" t="s">
        <v>2313</v>
      </c>
      <c r="H154" s="20"/>
      <c r="I154" s="13" t="s">
        <v>2314</v>
      </c>
      <c r="J154" s="13"/>
      <c r="K154" s="13" t="s">
        <v>2315</v>
      </c>
      <c r="L154" s="13"/>
      <c r="M154" s="13" t="s">
        <v>2316</v>
      </c>
      <c r="N154" s="13" t="s">
        <v>2083</v>
      </c>
      <c r="O154" s="13"/>
      <c r="P154" s="13" t="s">
        <v>2083</v>
      </c>
      <c r="Q154" s="13"/>
      <c r="R154" s="13" t="s">
        <v>2317</v>
      </c>
      <c r="S154" s="13"/>
      <c r="T154" s="13" t="s">
        <v>2271</v>
      </c>
      <c r="U154" s="13"/>
    </row>
    <row r="155" spans="1:21" ht="15.75" customHeight="1" x14ac:dyDescent="0.2">
      <c r="A155" s="26" t="s">
        <v>1119</v>
      </c>
      <c r="B155" s="13"/>
      <c r="C155" s="13">
        <v>1</v>
      </c>
      <c r="D155" s="13"/>
      <c r="E155" s="13"/>
      <c r="F155" s="13"/>
      <c r="G155" s="13"/>
      <c r="H155" s="13"/>
      <c r="I155" s="13"/>
      <c r="J155" s="13"/>
      <c r="K155" s="13"/>
      <c r="L155" s="13"/>
      <c r="M155" s="13"/>
      <c r="N155" s="13"/>
      <c r="O155" s="13"/>
      <c r="P155" s="13"/>
      <c r="Q155" s="13"/>
      <c r="R155" s="13"/>
      <c r="S155" s="13"/>
      <c r="T155" s="13"/>
      <c r="U155" s="13" t="s">
        <v>2318</v>
      </c>
    </row>
    <row r="156" spans="1:21" ht="15.75" customHeight="1" x14ac:dyDescent="0.2">
      <c r="A156" s="26" t="s">
        <v>1045</v>
      </c>
      <c r="B156" s="13"/>
      <c r="C156" s="13">
        <v>4</v>
      </c>
      <c r="D156" s="13"/>
      <c r="E156" s="13"/>
      <c r="F156" s="13"/>
      <c r="G156" s="13"/>
      <c r="H156" s="13"/>
      <c r="I156" s="13"/>
      <c r="J156" s="13"/>
      <c r="K156" s="13"/>
      <c r="L156" s="13"/>
      <c r="M156" s="13"/>
      <c r="N156" s="13"/>
      <c r="O156" s="13"/>
      <c r="P156" s="13"/>
      <c r="Q156" s="13"/>
      <c r="R156" s="13"/>
      <c r="S156" s="13"/>
      <c r="T156" s="13"/>
      <c r="U156" s="13" t="s">
        <v>2319</v>
      </c>
    </row>
    <row r="157" spans="1:21" ht="15.75" customHeight="1" x14ac:dyDescent="0.2">
      <c r="A157" s="26" t="s">
        <v>686</v>
      </c>
      <c r="B157" s="13"/>
      <c r="C157" s="13">
        <v>6</v>
      </c>
      <c r="D157" s="13"/>
      <c r="E157" s="13"/>
      <c r="F157" s="13"/>
      <c r="G157" s="13"/>
      <c r="H157" s="13"/>
      <c r="I157" s="13"/>
      <c r="J157" s="13"/>
      <c r="K157" s="13"/>
      <c r="L157" s="13"/>
      <c r="M157" s="13"/>
      <c r="N157" s="13"/>
      <c r="O157" s="13"/>
      <c r="P157" s="13"/>
      <c r="Q157" s="13"/>
      <c r="R157" s="13"/>
      <c r="S157" s="13" t="s">
        <v>2320</v>
      </c>
      <c r="T157" s="13"/>
      <c r="U157" s="13" t="s">
        <v>2321</v>
      </c>
    </row>
    <row r="158" spans="1:21" ht="15.75" customHeight="1" x14ac:dyDescent="0.2">
      <c r="A158" s="26" t="s">
        <v>1050</v>
      </c>
      <c r="B158" s="13"/>
      <c r="C158" s="13">
        <v>6</v>
      </c>
      <c r="D158" s="13"/>
      <c r="E158" s="13"/>
      <c r="F158" s="13"/>
      <c r="G158" s="13"/>
      <c r="H158" s="13"/>
      <c r="I158" s="13"/>
      <c r="J158" s="13"/>
      <c r="K158" s="13"/>
      <c r="L158" s="13"/>
      <c r="M158" s="13"/>
      <c r="N158" s="13"/>
      <c r="O158" s="13"/>
      <c r="P158" s="13"/>
      <c r="Q158" s="13"/>
      <c r="R158" s="13"/>
      <c r="S158" s="13"/>
      <c r="T158" s="13"/>
      <c r="U158" s="13"/>
    </row>
    <row r="159" spans="1:21" ht="15.75" customHeight="1" x14ac:dyDescent="0.2">
      <c r="A159" s="26" t="s">
        <v>136</v>
      </c>
      <c r="B159" s="13"/>
      <c r="C159" s="13"/>
      <c r="D159" s="13"/>
      <c r="E159" s="13"/>
      <c r="F159" s="13"/>
      <c r="G159" s="13"/>
      <c r="H159" s="13"/>
      <c r="I159" s="13"/>
      <c r="J159" s="13"/>
      <c r="K159" s="13"/>
      <c r="L159" s="13"/>
      <c r="M159" s="13"/>
      <c r="N159" s="13"/>
      <c r="O159" s="13"/>
      <c r="P159" s="13"/>
      <c r="Q159" s="13"/>
      <c r="R159" s="13"/>
      <c r="S159" s="13"/>
      <c r="T159" s="13"/>
      <c r="U159" s="13"/>
    </row>
    <row r="160" spans="1:21" ht="15.75" customHeight="1" x14ac:dyDescent="0.2">
      <c r="A160" s="26" t="s">
        <v>1173</v>
      </c>
      <c r="B160" s="13"/>
      <c r="C160" s="13"/>
      <c r="D160" s="13"/>
      <c r="E160" s="13"/>
      <c r="F160" s="13"/>
      <c r="G160" s="13"/>
      <c r="H160" s="13"/>
      <c r="I160" s="13"/>
      <c r="J160" s="13"/>
      <c r="K160" s="13"/>
      <c r="L160" s="13"/>
      <c r="M160" s="13"/>
      <c r="N160" s="13"/>
      <c r="O160" s="13"/>
      <c r="P160" s="13"/>
      <c r="Q160" s="13"/>
      <c r="R160" s="13"/>
      <c r="S160" s="13"/>
      <c r="T160" s="13"/>
      <c r="U160" s="13"/>
    </row>
    <row r="161" spans="1:21" ht="15.75" customHeight="1" x14ac:dyDescent="0.2">
      <c r="A161" s="26" t="s">
        <v>1899</v>
      </c>
      <c r="B161" s="13"/>
      <c r="C161" s="13">
        <v>2</v>
      </c>
      <c r="D161" s="13"/>
      <c r="E161" s="13"/>
      <c r="F161" s="13"/>
      <c r="G161" s="13"/>
      <c r="H161" s="13"/>
      <c r="I161" s="13"/>
      <c r="J161" s="13"/>
      <c r="K161" s="13"/>
      <c r="L161" s="13"/>
      <c r="M161" s="13"/>
      <c r="N161" s="13"/>
      <c r="O161" s="13"/>
      <c r="P161" s="13"/>
      <c r="Q161" s="13" t="s">
        <v>2322</v>
      </c>
      <c r="R161" s="13" t="s">
        <v>2323</v>
      </c>
      <c r="S161" s="13" t="s">
        <v>2324</v>
      </c>
      <c r="T161" s="13"/>
      <c r="U161" s="13"/>
    </row>
    <row r="162" spans="1:21" ht="15.75" customHeight="1" x14ac:dyDescent="0.2">
      <c r="A162" s="26" t="s">
        <v>1904</v>
      </c>
      <c r="B162" s="13"/>
      <c r="C162" s="13">
        <v>1</v>
      </c>
      <c r="D162" s="13"/>
      <c r="E162" s="13"/>
      <c r="F162" s="13"/>
      <c r="G162" s="13"/>
      <c r="H162" s="13"/>
      <c r="I162" s="13"/>
      <c r="J162" s="13"/>
      <c r="K162" s="13"/>
      <c r="L162" s="13"/>
      <c r="M162" s="13"/>
      <c r="N162" s="13"/>
      <c r="O162" s="13"/>
      <c r="P162" s="13"/>
      <c r="Q162" s="13"/>
      <c r="R162" s="13"/>
      <c r="S162" s="13"/>
      <c r="T162" s="13"/>
      <c r="U162" s="13" t="s">
        <v>2325</v>
      </c>
    </row>
    <row r="163" spans="1:21" ht="15.75" customHeight="1" x14ac:dyDescent="0.2">
      <c r="A163" s="26" t="s">
        <v>1220</v>
      </c>
      <c r="B163" s="13" t="s">
        <v>1221</v>
      </c>
      <c r="C163" s="13">
        <v>3</v>
      </c>
      <c r="D163" s="13"/>
      <c r="E163" s="13" t="s">
        <v>2078</v>
      </c>
      <c r="F163" s="13"/>
      <c r="G163" s="13" t="s">
        <v>2326</v>
      </c>
      <c r="H163" s="20"/>
      <c r="I163" s="13" t="s">
        <v>2327</v>
      </c>
      <c r="J163" s="13"/>
      <c r="K163" s="13" t="s">
        <v>2328</v>
      </c>
      <c r="L163" s="13"/>
      <c r="M163" s="13" t="s">
        <v>2329</v>
      </c>
      <c r="N163" s="13"/>
      <c r="O163" s="13" t="s">
        <v>2330</v>
      </c>
      <c r="P163" s="13"/>
      <c r="Q163" s="13" t="s">
        <v>2331</v>
      </c>
      <c r="R163" s="13"/>
      <c r="S163" s="13" t="s">
        <v>2332</v>
      </c>
      <c r="T163" s="13"/>
      <c r="U163" s="13" t="s">
        <v>2333</v>
      </c>
    </row>
    <row r="164" spans="1:21" ht="15.75" customHeight="1" x14ac:dyDescent="0.2">
      <c r="A164" s="26" t="s">
        <v>1513</v>
      </c>
      <c r="B164" s="13" t="s">
        <v>1514</v>
      </c>
      <c r="C164" s="13">
        <v>2</v>
      </c>
      <c r="D164" s="13"/>
      <c r="E164" s="13" t="s">
        <v>2334</v>
      </c>
      <c r="F164" s="13"/>
      <c r="G164" s="13" t="s">
        <v>2335</v>
      </c>
      <c r="H164" s="20"/>
      <c r="I164" s="13" t="s">
        <v>2335</v>
      </c>
      <c r="J164" s="13"/>
      <c r="K164" s="20" t="s">
        <v>2336</v>
      </c>
      <c r="L164" s="13"/>
      <c r="M164" s="13" t="s">
        <v>2329</v>
      </c>
      <c r="N164" s="13"/>
      <c r="O164" s="13" t="s">
        <v>2330</v>
      </c>
      <c r="P164" s="13"/>
      <c r="Q164" s="13" t="s">
        <v>2331</v>
      </c>
      <c r="R164" s="13"/>
      <c r="S164" s="13" t="s">
        <v>2332</v>
      </c>
      <c r="T164" s="13"/>
      <c r="U164" s="13" t="s">
        <v>2333</v>
      </c>
    </row>
    <row r="165" spans="1:21" ht="15.75" customHeight="1" x14ac:dyDescent="0.2">
      <c r="A165" s="26" t="s">
        <v>907</v>
      </c>
      <c r="B165" s="13" t="s">
        <v>908</v>
      </c>
      <c r="C165" s="13">
        <v>1</v>
      </c>
      <c r="D165" s="13"/>
      <c r="E165" s="13" t="s">
        <v>2240</v>
      </c>
      <c r="F165" s="13"/>
      <c r="G165" s="13" t="s">
        <v>2337</v>
      </c>
      <c r="H165" s="20"/>
      <c r="I165" s="20" t="s">
        <v>2338</v>
      </c>
      <c r="J165" s="13"/>
      <c r="K165" s="13" t="s">
        <v>2339</v>
      </c>
      <c r="L165" s="20"/>
      <c r="M165" s="13" t="s">
        <v>2340</v>
      </c>
      <c r="N165" s="13"/>
      <c r="O165" s="20" t="s">
        <v>2341</v>
      </c>
      <c r="P165" s="13"/>
      <c r="Q165" s="13" t="s">
        <v>2342</v>
      </c>
      <c r="R165" s="20"/>
      <c r="S165" s="13" t="s">
        <v>2343</v>
      </c>
      <c r="T165" s="13"/>
      <c r="U165" s="13" t="s">
        <v>2344</v>
      </c>
    </row>
    <row r="166" spans="1:21" ht="15.75" customHeight="1" x14ac:dyDescent="0.2">
      <c r="A166" s="26" t="s">
        <v>1202</v>
      </c>
      <c r="B166" s="13" t="s">
        <v>1203</v>
      </c>
      <c r="C166" s="13">
        <v>5</v>
      </c>
      <c r="D166" s="13"/>
      <c r="E166" s="13" t="s">
        <v>2345</v>
      </c>
      <c r="F166" s="13"/>
      <c r="G166" s="20" t="s">
        <v>2346</v>
      </c>
      <c r="H166" s="20"/>
      <c r="I166" s="20" t="s">
        <v>2347</v>
      </c>
      <c r="J166" s="20"/>
      <c r="K166" s="13" t="s">
        <v>2339</v>
      </c>
      <c r="L166" s="20"/>
      <c r="M166" s="13" t="s">
        <v>2348</v>
      </c>
      <c r="N166" s="13"/>
      <c r="O166" s="20" t="s">
        <v>2341</v>
      </c>
      <c r="P166" s="13"/>
      <c r="Q166" s="13" t="s">
        <v>2342</v>
      </c>
      <c r="R166" s="20"/>
      <c r="S166" s="13" t="s">
        <v>2343</v>
      </c>
      <c r="T166" s="13"/>
      <c r="U166" s="13" t="s">
        <v>2344</v>
      </c>
    </row>
    <row r="167" spans="1:21" ht="15.75" customHeight="1" x14ac:dyDescent="0.2">
      <c r="A167" s="26" t="s">
        <v>1497</v>
      </c>
      <c r="B167" s="13" t="s">
        <v>1498</v>
      </c>
      <c r="C167" s="13">
        <v>1</v>
      </c>
      <c r="D167" s="13"/>
      <c r="E167" s="13" t="s">
        <v>2349</v>
      </c>
      <c r="F167" s="13"/>
      <c r="G167" s="13" t="s">
        <v>2337</v>
      </c>
      <c r="H167" s="20"/>
      <c r="I167" s="20" t="s">
        <v>2350</v>
      </c>
      <c r="J167" s="13"/>
      <c r="K167" s="13" t="s">
        <v>2351</v>
      </c>
      <c r="L167" s="20"/>
      <c r="M167" s="13" t="s">
        <v>2352</v>
      </c>
      <c r="N167" s="13"/>
      <c r="O167" s="13" t="s">
        <v>2353</v>
      </c>
      <c r="P167" s="13"/>
      <c r="Q167" s="13" t="s">
        <v>2354</v>
      </c>
      <c r="R167" s="13"/>
      <c r="S167" s="13" t="s">
        <v>2343</v>
      </c>
      <c r="T167" s="13"/>
      <c r="U167" s="13" t="s">
        <v>2318</v>
      </c>
    </row>
    <row r="168" spans="1:21" ht="15.75" customHeight="1" x14ac:dyDescent="0.2">
      <c r="A168" s="26" t="s">
        <v>910</v>
      </c>
      <c r="B168" s="13" t="s">
        <v>2355</v>
      </c>
      <c r="C168" s="13">
        <v>4</v>
      </c>
      <c r="D168" s="13"/>
      <c r="E168" s="13" t="s">
        <v>2356</v>
      </c>
      <c r="F168" s="13"/>
      <c r="G168" s="13" t="s">
        <v>2337</v>
      </c>
      <c r="H168" s="20"/>
      <c r="I168" s="20" t="s">
        <v>2357</v>
      </c>
      <c r="J168" s="13"/>
      <c r="K168" s="20" t="s">
        <v>2357</v>
      </c>
      <c r="L168" s="20"/>
      <c r="M168" s="13" t="s">
        <v>2316</v>
      </c>
      <c r="N168" s="13"/>
      <c r="O168" s="13" t="s">
        <v>2358</v>
      </c>
      <c r="P168" s="13"/>
      <c r="Q168" s="13" t="s">
        <v>2354</v>
      </c>
      <c r="R168" s="13"/>
      <c r="S168" s="13" t="s">
        <v>2359</v>
      </c>
      <c r="T168" s="13"/>
      <c r="U168" s="13" t="s">
        <v>2360</v>
      </c>
    </row>
    <row r="169" spans="1:21" ht="15.75" customHeight="1" x14ac:dyDescent="0.2">
      <c r="A169" s="26" t="s">
        <v>992</v>
      </c>
      <c r="B169" s="13" t="s">
        <v>993</v>
      </c>
      <c r="C169" s="13">
        <v>3</v>
      </c>
      <c r="D169" s="13"/>
      <c r="E169" s="13"/>
      <c r="F169" s="13"/>
      <c r="G169" s="13" t="s">
        <v>2361</v>
      </c>
      <c r="H169" s="20"/>
      <c r="I169" s="23" t="s">
        <v>2125</v>
      </c>
      <c r="J169" s="20" t="s">
        <v>2362</v>
      </c>
      <c r="K169" s="13" t="s">
        <v>2363</v>
      </c>
      <c r="L169" s="20"/>
      <c r="M169" s="13" t="s">
        <v>2352</v>
      </c>
      <c r="N169" s="13"/>
      <c r="O169" s="20" t="s">
        <v>2364</v>
      </c>
      <c r="P169" s="13"/>
      <c r="Q169" s="13" t="s">
        <v>2365</v>
      </c>
      <c r="R169" s="20"/>
      <c r="S169" s="13" t="s">
        <v>2343</v>
      </c>
      <c r="T169" s="13"/>
      <c r="U169" s="13" t="s">
        <v>2366</v>
      </c>
    </row>
    <row r="170" spans="1:21" ht="15.75" customHeight="1" x14ac:dyDescent="0.2">
      <c r="A170" s="26" t="s">
        <v>1507</v>
      </c>
      <c r="B170" s="13" t="s">
        <v>1508</v>
      </c>
      <c r="C170" s="13">
        <v>1</v>
      </c>
      <c r="D170" s="13"/>
      <c r="E170" s="13" t="s">
        <v>2349</v>
      </c>
      <c r="F170" s="13"/>
      <c r="G170" s="13" t="s">
        <v>2367</v>
      </c>
      <c r="H170" s="20"/>
      <c r="I170" s="13" t="s">
        <v>2368</v>
      </c>
      <c r="J170" s="13"/>
      <c r="K170" s="13" t="s">
        <v>2369</v>
      </c>
      <c r="L170" s="13"/>
      <c r="M170" s="13" t="s">
        <v>2370</v>
      </c>
      <c r="N170" s="13"/>
      <c r="O170" s="13" t="s">
        <v>2371</v>
      </c>
      <c r="P170" s="13"/>
      <c r="Q170" s="13" t="s">
        <v>2331</v>
      </c>
      <c r="R170" s="13"/>
      <c r="S170" s="13" t="s">
        <v>2372</v>
      </c>
      <c r="T170" s="13"/>
      <c r="U170" s="13" t="s">
        <v>2373</v>
      </c>
    </row>
    <row r="171" spans="1:21" ht="15.75" customHeight="1" x14ac:dyDescent="0.2">
      <c r="A171" s="26" t="s">
        <v>1218</v>
      </c>
      <c r="B171" s="13" t="s">
        <v>1219</v>
      </c>
      <c r="C171" s="13">
        <v>7</v>
      </c>
      <c r="D171" s="13"/>
      <c r="E171" s="20" t="s">
        <v>2374</v>
      </c>
      <c r="F171" s="20"/>
      <c r="G171" s="13" t="s">
        <v>2375</v>
      </c>
      <c r="H171" s="20"/>
      <c r="I171" s="13" t="s">
        <v>2368</v>
      </c>
      <c r="J171" s="13"/>
      <c r="K171" s="13" t="s">
        <v>2369</v>
      </c>
      <c r="L171" s="13"/>
      <c r="M171" s="13" t="s">
        <v>2376</v>
      </c>
      <c r="N171" s="13"/>
      <c r="O171" s="13" t="s">
        <v>2377</v>
      </c>
      <c r="P171" s="13"/>
      <c r="Q171" s="13" t="s">
        <v>2378</v>
      </c>
      <c r="R171" s="13"/>
      <c r="S171" s="13" t="s">
        <v>389</v>
      </c>
      <c r="T171" s="13"/>
      <c r="U171" s="13" t="s">
        <v>2379</v>
      </c>
    </row>
    <row r="172" spans="1:21" ht="15.75" customHeight="1" x14ac:dyDescent="0.2">
      <c r="A172" s="26" t="s">
        <v>1499</v>
      </c>
      <c r="B172" s="13" t="s">
        <v>1500</v>
      </c>
      <c r="C172" s="13">
        <v>1</v>
      </c>
      <c r="D172" s="13"/>
      <c r="E172" s="13" t="s">
        <v>2380</v>
      </c>
      <c r="F172" s="13"/>
      <c r="G172" s="13" t="s">
        <v>2381</v>
      </c>
      <c r="H172" s="20"/>
      <c r="I172" s="13" t="s">
        <v>2382</v>
      </c>
      <c r="J172" s="13"/>
      <c r="K172" s="13" t="s">
        <v>2383</v>
      </c>
      <c r="L172" s="13"/>
      <c r="M172" s="13" t="s">
        <v>2384</v>
      </c>
      <c r="N172" s="13"/>
      <c r="O172" s="13" t="s">
        <v>2330</v>
      </c>
      <c r="P172" s="13"/>
      <c r="Q172" s="13" t="s">
        <v>2385</v>
      </c>
      <c r="R172" s="13"/>
      <c r="S172" s="13" t="s">
        <v>2386</v>
      </c>
      <c r="T172" s="13"/>
      <c r="U172" s="13" t="s">
        <v>2387</v>
      </c>
    </row>
    <row r="173" spans="1:21" ht="15.75" customHeight="1" x14ac:dyDescent="0.2">
      <c r="A173" s="26" t="s">
        <v>1162</v>
      </c>
      <c r="B173" s="13"/>
      <c r="C173" s="13">
        <v>1</v>
      </c>
      <c r="D173" s="13"/>
      <c r="E173" s="13"/>
      <c r="F173" s="13"/>
      <c r="G173" s="13"/>
      <c r="H173" s="13"/>
      <c r="I173" s="13"/>
      <c r="J173" s="13"/>
      <c r="K173" s="13"/>
      <c r="L173" s="13"/>
      <c r="M173" s="13"/>
      <c r="N173" s="13" t="s">
        <v>2388</v>
      </c>
      <c r="O173" s="13"/>
      <c r="P173" s="13" t="s">
        <v>2288</v>
      </c>
      <c r="Q173" s="13"/>
      <c r="R173" s="20" t="s">
        <v>1992</v>
      </c>
      <c r="S173" s="13"/>
      <c r="T173" s="20"/>
      <c r="U173" s="13" t="s">
        <v>2389</v>
      </c>
    </row>
    <row r="174" spans="1:21" ht="15.75" customHeight="1" x14ac:dyDescent="0.2">
      <c r="A174" s="26" t="s">
        <v>1006</v>
      </c>
      <c r="B174" s="13"/>
      <c r="C174" s="13">
        <v>5</v>
      </c>
      <c r="D174" s="13"/>
      <c r="E174" s="13"/>
      <c r="F174" s="13"/>
      <c r="G174" s="13"/>
      <c r="H174" s="13"/>
      <c r="I174" s="13"/>
      <c r="J174" s="13"/>
      <c r="K174" s="13"/>
      <c r="L174" s="13"/>
      <c r="M174" s="13"/>
      <c r="N174" s="13"/>
      <c r="O174" s="13"/>
      <c r="P174" s="13"/>
      <c r="Q174" s="13" t="s">
        <v>1943</v>
      </c>
      <c r="R174" s="13"/>
      <c r="S174" s="13" t="s">
        <v>1943</v>
      </c>
      <c r="T174" s="13"/>
      <c r="U174" s="13" t="s">
        <v>2390</v>
      </c>
    </row>
    <row r="175" spans="1:21" ht="15.75" customHeight="1" x14ac:dyDescent="0.2">
      <c r="A175" s="26" t="s">
        <v>1036</v>
      </c>
      <c r="B175" s="13" t="s">
        <v>1037</v>
      </c>
      <c r="C175" s="13">
        <v>7</v>
      </c>
      <c r="D175" s="13"/>
      <c r="E175" s="13" t="s">
        <v>2391</v>
      </c>
      <c r="F175" s="13"/>
      <c r="G175" s="13" t="s">
        <v>2392</v>
      </c>
      <c r="H175" s="20"/>
      <c r="I175" s="13" t="s">
        <v>2392</v>
      </c>
      <c r="J175" s="13"/>
      <c r="K175" s="13" t="s">
        <v>2393</v>
      </c>
      <c r="L175" s="13"/>
      <c r="M175" s="13" t="s">
        <v>2393</v>
      </c>
      <c r="N175" s="13"/>
      <c r="O175" s="13" t="s">
        <v>2394</v>
      </c>
      <c r="P175" s="13"/>
      <c r="Q175" s="13" t="s">
        <v>2178</v>
      </c>
      <c r="R175" s="13"/>
      <c r="S175" s="13" t="s">
        <v>2395</v>
      </c>
      <c r="T175" s="13"/>
      <c r="U175" s="13" t="s">
        <v>2319</v>
      </c>
    </row>
    <row r="176" spans="1:21" ht="15.75" customHeight="1" x14ac:dyDescent="0.2">
      <c r="A176" s="26" t="s">
        <v>1813</v>
      </c>
      <c r="B176" s="13" t="s">
        <v>1814</v>
      </c>
      <c r="C176" s="13">
        <v>4</v>
      </c>
      <c r="D176" s="13"/>
      <c r="E176" s="13" t="s">
        <v>2396</v>
      </c>
      <c r="F176" s="13"/>
      <c r="G176" s="13" t="s">
        <v>2326</v>
      </c>
      <c r="H176" s="20"/>
      <c r="I176" s="13" t="s">
        <v>2397</v>
      </c>
      <c r="J176" s="13"/>
      <c r="K176" s="13" t="s">
        <v>2398</v>
      </c>
      <c r="L176" s="13"/>
      <c r="M176" s="13" t="s">
        <v>2398</v>
      </c>
      <c r="N176" s="13"/>
      <c r="O176" s="20" t="s">
        <v>2399</v>
      </c>
      <c r="P176" s="13"/>
      <c r="Q176" s="13" t="s">
        <v>2399</v>
      </c>
      <c r="R176" s="13"/>
      <c r="S176" s="13" t="s">
        <v>2395</v>
      </c>
      <c r="T176" s="13"/>
      <c r="U176" s="13" t="s">
        <v>2319</v>
      </c>
    </row>
    <row r="177" spans="1:21" ht="15.75" customHeight="1" x14ac:dyDescent="0.2">
      <c r="A177" s="26" t="s">
        <v>1736</v>
      </c>
      <c r="B177" s="13" t="s">
        <v>1737</v>
      </c>
      <c r="C177" s="13">
        <v>6</v>
      </c>
      <c r="D177" s="13"/>
      <c r="E177" s="13" t="s">
        <v>2400</v>
      </c>
      <c r="F177" s="13"/>
      <c r="G177" s="13" t="s">
        <v>2326</v>
      </c>
      <c r="H177" s="20"/>
      <c r="I177" s="13" t="s">
        <v>2401</v>
      </c>
      <c r="J177" s="13"/>
      <c r="K177" s="13" t="s">
        <v>2402</v>
      </c>
      <c r="L177" s="13"/>
      <c r="M177" s="13"/>
      <c r="N177" s="13"/>
      <c r="O177" s="20" t="s">
        <v>2403</v>
      </c>
      <c r="P177" s="13"/>
      <c r="Q177" s="13" t="s">
        <v>2404</v>
      </c>
      <c r="R177" s="13"/>
      <c r="S177" s="13" t="s">
        <v>2405</v>
      </c>
      <c r="T177" s="13"/>
      <c r="U177" s="13" t="s">
        <v>2406</v>
      </c>
    </row>
    <row r="178" spans="1:21" ht="15.75" customHeight="1" x14ac:dyDescent="0.2">
      <c r="A178" s="26" t="s">
        <v>135</v>
      </c>
      <c r="B178" s="27" t="s">
        <v>695</v>
      </c>
      <c r="C178" s="13">
        <v>6</v>
      </c>
      <c r="D178" s="13"/>
      <c r="E178" s="13"/>
      <c r="F178" s="13"/>
      <c r="G178" s="20"/>
      <c r="H178" s="20"/>
      <c r="I178" s="13"/>
      <c r="J178" s="13"/>
      <c r="K178" s="13"/>
      <c r="L178" s="13" t="s">
        <v>2407</v>
      </c>
      <c r="M178" s="13"/>
      <c r="N178" s="13"/>
      <c r="O178" s="13"/>
      <c r="P178" s="13"/>
      <c r="Q178" s="13" t="s">
        <v>2178</v>
      </c>
      <c r="R178" s="13"/>
      <c r="S178" s="13" t="s">
        <v>2178</v>
      </c>
      <c r="T178" s="13"/>
      <c r="U178" s="13" t="s">
        <v>2408</v>
      </c>
    </row>
    <row r="179" spans="1:21" ht="15.75" customHeight="1" x14ac:dyDescent="0.2">
      <c r="A179" s="26" t="s">
        <v>1871</v>
      </c>
      <c r="B179" s="13" t="s">
        <v>1872</v>
      </c>
      <c r="C179" s="13">
        <v>4</v>
      </c>
      <c r="D179" s="13"/>
      <c r="E179" s="13" t="s">
        <v>2409</v>
      </c>
      <c r="F179" s="13"/>
      <c r="G179" s="20"/>
      <c r="H179" s="20"/>
      <c r="I179" s="13" t="s">
        <v>2410</v>
      </c>
      <c r="J179" s="13"/>
      <c r="K179" s="13" t="s">
        <v>2411</v>
      </c>
      <c r="L179" s="13"/>
      <c r="M179" s="13" t="s">
        <v>2316</v>
      </c>
      <c r="N179" s="13"/>
      <c r="O179" s="13" t="s">
        <v>2412</v>
      </c>
      <c r="P179" s="13"/>
      <c r="Q179" s="13" t="s">
        <v>2413</v>
      </c>
      <c r="R179" s="13"/>
      <c r="S179" s="13" t="s">
        <v>2413</v>
      </c>
      <c r="T179" s="13"/>
      <c r="U179" s="20" t="s">
        <v>2414</v>
      </c>
    </row>
    <row r="180" spans="1:21" ht="15.75" customHeight="1" x14ac:dyDescent="0.2">
      <c r="A180" s="26" t="s">
        <v>919</v>
      </c>
      <c r="B180" s="13" t="s">
        <v>920</v>
      </c>
      <c r="C180" s="13">
        <v>1</v>
      </c>
      <c r="D180" s="13"/>
      <c r="E180" s="13" t="s">
        <v>2349</v>
      </c>
      <c r="F180" s="13"/>
      <c r="G180" s="13" t="s">
        <v>2415</v>
      </c>
      <c r="H180" s="20"/>
      <c r="I180" s="13" t="s">
        <v>2416</v>
      </c>
      <c r="J180" s="13"/>
      <c r="K180" s="13" t="s">
        <v>2416</v>
      </c>
      <c r="L180" s="13"/>
      <c r="M180" s="13" t="s">
        <v>2316</v>
      </c>
      <c r="N180" s="13"/>
      <c r="O180" s="13" t="s">
        <v>2417</v>
      </c>
      <c r="P180" s="13"/>
      <c r="Q180" s="13" t="s">
        <v>2418</v>
      </c>
      <c r="R180" s="13"/>
      <c r="S180" s="13" t="s">
        <v>2419</v>
      </c>
      <c r="T180" s="13"/>
      <c r="U180" s="13" t="s">
        <v>2419</v>
      </c>
    </row>
    <row r="181" spans="1:21" ht="15.75" customHeight="1" x14ac:dyDescent="0.2">
      <c r="A181" s="26" t="s">
        <v>867</v>
      </c>
      <c r="B181" s="13" t="s">
        <v>868</v>
      </c>
      <c r="C181" s="13">
        <v>4</v>
      </c>
      <c r="D181" s="13"/>
      <c r="E181" s="20" t="s">
        <v>2420</v>
      </c>
      <c r="F181" s="20"/>
      <c r="G181" s="13" t="s">
        <v>2421</v>
      </c>
      <c r="H181" s="20"/>
      <c r="I181" s="13" t="s">
        <v>2422</v>
      </c>
      <c r="J181" s="13"/>
      <c r="K181" s="13" t="s">
        <v>2316</v>
      </c>
      <c r="L181" s="13"/>
      <c r="M181" s="13" t="s">
        <v>2316</v>
      </c>
      <c r="N181" s="13"/>
      <c r="O181" s="13" t="s">
        <v>2423</v>
      </c>
      <c r="P181" s="13"/>
      <c r="Q181" s="13" t="s">
        <v>2424</v>
      </c>
      <c r="R181" s="13"/>
      <c r="S181" s="13" t="s">
        <v>2425</v>
      </c>
      <c r="T181" s="13"/>
      <c r="U181" s="13" t="s">
        <v>2425</v>
      </c>
    </row>
    <row r="182" spans="1:21" ht="15.75" customHeight="1" x14ac:dyDescent="0.2">
      <c r="A182" s="26" t="s">
        <v>123</v>
      </c>
      <c r="B182" s="13" t="s">
        <v>750</v>
      </c>
      <c r="C182" s="13">
        <v>1</v>
      </c>
      <c r="D182" s="13"/>
      <c r="E182" s="13"/>
      <c r="F182" s="13"/>
      <c r="G182" s="20"/>
      <c r="H182" s="20"/>
      <c r="I182" s="13"/>
      <c r="J182" s="13" t="s">
        <v>2426</v>
      </c>
      <c r="K182" s="13"/>
      <c r="L182" s="20" t="s">
        <v>2427</v>
      </c>
      <c r="M182" s="13"/>
      <c r="N182" s="20" t="s">
        <v>2427</v>
      </c>
      <c r="O182" s="13"/>
      <c r="P182" s="13" t="s">
        <v>1991</v>
      </c>
      <c r="Q182" s="13"/>
      <c r="R182" s="20" t="s">
        <v>1992</v>
      </c>
      <c r="S182" s="13"/>
      <c r="T182" s="20" t="s">
        <v>1992</v>
      </c>
      <c r="U182" s="20" t="s">
        <v>2414</v>
      </c>
    </row>
    <row r="183" spans="1:21" ht="15.75" customHeight="1" x14ac:dyDescent="0.2">
      <c r="A183" s="26" t="s">
        <v>1891</v>
      </c>
      <c r="B183" s="13" t="s">
        <v>1892</v>
      </c>
      <c r="C183" s="13">
        <v>3</v>
      </c>
      <c r="D183" s="13"/>
      <c r="E183" s="13" t="s">
        <v>2428</v>
      </c>
      <c r="F183" s="13"/>
      <c r="G183" s="20" t="s">
        <v>2429</v>
      </c>
      <c r="H183" s="20"/>
      <c r="I183" s="13" t="s">
        <v>2430</v>
      </c>
      <c r="J183" s="20"/>
      <c r="K183" s="13" t="s">
        <v>2431</v>
      </c>
      <c r="L183" s="13"/>
      <c r="M183" s="13" t="s">
        <v>2348</v>
      </c>
      <c r="N183" s="13"/>
      <c r="O183" s="20" t="s">
        <v>2341</v>
      </c>
      <c r="P183" s="13"/>
      <c r="Q183" s="13" t="s">
        <v>2331</v>
      </c>
      <c r="R183" s="20"/>
      <c r="S183" s="13" t="s">
        <v>2432</v>
      </c>
      <c r="T183" s="13"/>
      <c r="U183" s="13" t="s">
        <v>2432</v>
      </c>
    </row>
    <row r="184" spans="1:21" ht="15.75" customHeight="1" x14ac:dyDescent="0.2">
      <c r="A184" s="26" t="s">
        <v>878</v>
      </c>
      <c r="B184" s="13" t="s">
        <v>879</v>
      </c>
      <c r="C184" s="13">
        <v>7</v>
      </c>
      <c r="D184" s="13"/>
      <c r="E184" s="13" t="s">
        <v>2428</v>
      </c>
      <c r="F184" s="13"/>
      <c r="G184" s="20" t="s">
        <v>2433</v>
      </c>
      <c r="H184" s="20"/>
      <c r="I184" s="20" t="s">
        <v>2338</v>
      </c>
      <c r="J184" s="20"/>
      <c r="K184" s="13" t="s">
        <v>2434</v>
      </c>
      <c r="L184" s="20"/>
      <c r="M184" s="13" t="s">
        <v>2435</v>
      </c>
      <c r="N184" s="13"/>
      <c r="O184" s="13" t="s">
        <v>2353</v>
      </c>
      <c r="P184" s="13"/>
      <c r="Q184" s="13" t="s">
        <v>2354</v>
      </c>
      <c r="R184" s="13"/>
      <c r="S184" s="13" t="s">
        <v>2436</v>
      </c>
      <c r="T184" s="13"/>
      <c r="U184" s="13" t="s">
        <v>2436</v>
      </c>
    </row>
    <row r="185" spans="1:21" ht="15.75" customHeight="1" x14ac:dyDescent="0.2">
      <c r="A185" s="26" t="s">
        <v>44</v>
      </c>
      <c r="B185" s="13" t="s">
        <v>991</v>
      </c>
      <c r="C185" s="13">
        <v>1</v>
      </c>
      <c r="D185" s="13"/>
      <c r="E185" s="20" t="s">
        <v>2374</v>
      </c>
      <c r="F185" s="20"/>
      <c r="G185" s="13" t="s">
        <v>2437</v>
      </c>
      <c r="H185" s="20"/>
      <c r="I185" s="13" t="s">
        <v>2368</v>
      </c>
      <c r="J185" s="13"/>
      <c r="K185" s="13" t="s">
        <v>2438</v>
      </c>
      <c r="L185" s="13"/>
      <c r="M185" s="13" t="s">
        <v>2439</v>
      </c>
      <c r="N185" s="13"/>
      <c r="O185" s="13" t="s">
        <v>2353</v>
      </c>
      <c r="P185" s="13"/>
      <c r="Q185" s="13" t="s">
        <v>2354</v>
      </c>
      <c r="R185" s="13"/>
      <c r="S185" s="13" t="s">
        <v>2440</v>
      </c>
      <c r="T185" s="13"/>
      <c r="U185" s="13" t="s">
        <v>2440</v>
      </c>
    </row>
    <row r="186" spans="1:21" ht="15.75" customHeight="1" x14ac:dyDescent="0.2">
      <c r="A186" s="26" t="s">
        <v>73</v>
      </c>
      <c r="B186" s="13" t="s">
        <v>794</v>
      </c>
      <c r="C186" s="13">
        <v>6</v>
      </c>
      <c r="D186" s="13"/>
      <c r="E186" s="13" t="s">
        <v>2428</v>
      </c>
      <c r="F186" s="13"/>
      <c r="G186" s="20" t="s">
        <v>2441</v>
      </c>
      <c r="H186" s="20"/>
      <c r="I186" s="13" t="s">
        <v>2442</v>
      </c>
      <c r="J186" s="20"/>
      <c r="K186" s="13" t="s">
        <v>2443</v>
      </c>
      <c r="L186" s="13"/>
      <c r="M186" s="13" t="s">
        <v>2348</v>
      </c>
      <c r="N186" s="13"/>
      <c r="O186" s="20" t="s">
        <v>2341</v>
      </c>
      <c r="P186" s="13"/>
      <c r="Q186" s="20" t="s">
        <v>2444</v>
      </c>
      <c r="R186" s="20"/>
      <c r="S186" s="13" t="s">
        <v>2440</v>
      </c>
      <c r="T186" s="20"/>
      <c r="U186" s="13" t="s">
        <v>2440</v>
      </c>
    </row>
    <row r="187" spans="1:21" ht="15.75" customHeight="1" x14ac:dyDescent="0.2">
      <c r="A187" s="26" t="s">
        <v>674</v>
      </c>
      <c r="B187" s="13" t="s">
        <v>675</v>
      </c>
      <c r="C187" s="13">
        <v>2</v>
      </c>
      <c r="D187" s="13"/>
      <c r="E187" s="13" t="s">
        <v>2445</v>
      </c>
      <c r="F187" s="13"/>
      <c r="G187" s="13" t="s">
        <v>2446</v>
      </c>
      <c r="H187" s="20"/>
      <c r="I187" s="13" t="s">
        <v>2447</v>
      </c>
      <c r="J187" s="13"/>
      <c r="K187" s="13" t="s">
        <v>2448</v>
      </c>
      <c r="L187" s="13"/>
      <c r="M187" s="13" t="s">
        <v>2449</v>
      </c>
      <c r="N187" s="13"/>
      <c r="O187" s="20" t="s">
        <v>2341</v>
      </c>
      <c r="P187" s="13"/>
      <c r="Q187" s="13" t="s">
        <v>2444</v>
      </c>
      <c r="R187" s="20"/>
      <c r="S187" s="13" t="s">
        <v>2440</v>
      </c>
      <c r="T187" s="13"/>
      <c r="U187" s="13" t="s">
        <v>2440</v>
      </c>
    </row>
    <row r="188" spans="1:21" ht="15.75" customHeight="1" x14ac:dyDescent="0.2">
      <c r="A188" s="26" t="s">
        <v>932</v>
      </c>
      <c r="B188" s="13" t="s">
        <v>933</v>
      </c>
      <c r="C188" s="13">
        <v>3</v>
      </c>
      <c r="D188" s="13"/>
      <c r="E188" s="13" t="s">
        <v>2450</v>
      </c>
      <c r="F188" s="13"/>
      <c r="G188" s="20" t="s">
        <v>2346</v>
      </c>
      <c r="H188" s="20"/>
      <c r="I188" s="13" t="s">
        <v>2451</v>
      </c>
      <c r="J188" s="20"/>
      <c r="K188" s="13" t="s">
        <v>2452</v>
      </c>
      <c r="L188" s="13"/>
      <c r="M188" s="13" t="s">
        <v>2352</v>
      </c>
      <c r="N188" s="13"/>
      <c r="O188" s="13" t="s">
        <v>2353</v>
      </c>
      <c r="P188" s="13"/>
      <c r="Q188" s="13" t="s">
        <v>2413</v>
      </c>
      <c r="R188" s="13"/>
      <c r="S188" s="13" t="s">
        <v>2453</v>
      </c>
      <c r="T188" s="13"/>
      <c r="U188" s="13" t="s">
        <v>2453</v>
      </c>
    </row>
    <row r="189" spans="1:21" ht="15.75" customHeight="1" x14ac:dyDescent="0.2">
      <c r="A189" s="26" t="s">
        <v>1878</v>
      </c>
      <c r="B189" s="13" t="s">
        <v>1879</v>
      </c>
      <c r="C189" s="13">
        <v>4</v>
      </c>
      <c r="D189" s="13"/>
      <c r="E189" s="13" t="s">
        <v>2240</v>
      </c>
      <c r="F189" s="13"/>
      <c r="G189" s="13" t="s">
        <v>2240</v>
      </c>
      <c r="H189" s="20"/>
      <c r="I189" s="13" t="s">
        <v>2454</v>
      </c>
      <c r="J189" s="13"/>
      <c r="K189" s="13" t="s">
        <v>2455</v>
      </c>
      <c r="L189" s="13"/>
      <c r="M189" s="13" t="s">
        <v>2456</v>
      </c>
      <c r="N189" s="13"/>
      <c r="O189" s="20" t="s">
        <v>2457</v>
      </c>
      <c r="P189" s="13"/>
      <c r="Q189" s="20" t="s">
        <v>2457</v>
      </c>
      <c r="R189" s="20"/>
      <c r="S189" s="13" t="s">
        <v>2458</v>
      </c>
      <c r="T189" s="20"/>
      <c r="U189" s="13" t="s">
        <v>2458</v>
      </c>
    </row>
    <row r="190" spans="1:21" ht="15.75" customHeight="1" x14ac:dyDescent="0.2">
      <c r="A190" s="26" t="s">
        <v>1138</v>
      </c>
      <c r="B190" s="13" t="s">
        <v>1139</v>
      </c>
      <c r="C190" s="13">
        <v>1</v>
      </c>
      <c r="D190" s="13"/>
      <c r="E190" s="13" t="s">
        <v>2445</v>
      </c>
      <c r="F190" s="13"/>
      <c r="G190" s="13" t="s">
        <v>2459</v>
      </c>
      <c r="H190" s="20"/>
      <c r="I190" s="13" t="s">
        <v>2430</v>
      </c>
      <c r="J190" s="13"/>
      <c r="K190" s="13" t="s">
        <v>2460</v>
      </c>
      <c r="L190" s="13"/>
      <c r="M190" s="13" t="s">
        <v>2461</v>
      </c>
      <c r="N190" s="13"/>
      <c r="O190" s="20" t="s">
        <v>2462</v>
      </c>
      <c r="P190" s="13"/>
      <c r="Q190" s="20" t="s">
        <v>2462</v>
      </c>
      <c r="R190" s="20"/>
      <c r="S190" s="13" t="s">
        <v>2453</v>
      </c>
      <c r="T190" s="20"/>
      <c r="U190" s="13" t="s">
        <v>2453</v>
      </c>
    </row>
    <row r="191" spans="1:21" ht="15.75" customHeight="1" x14ac:dyDescent="0.2">
      <c r="A191" s="26" t="s">
        <v>1509</v>
      </c>
      <c r="B191" s="13" t="s">
        <v>1510</v>
      </c>
      <c r="C191" s="13">
        <v>2</v>
      </c>
      <c r="D191" s="13"/>
      <c r="E191" s="13" t="s">
        <v>2428</v>
      </c>
      <c r="F191" s="13"/>
      <c r="G191" s="20" t="s">
        <v>2441</v>
      </c>
      <c r="H191" s="20"/>
      <c r="I191" s="13" t="s">
        <v>2430</v>
      </c>
      <c r="J191" s="20"/>
      <c r="K191" s="13" t="s">
        <v>2435</v>
      </c>
      <c r="L191" s="13"/>
      <c r="M191" s="13" t="s">
        <v>2435</v>
      </c>
      <c r="N191" s="13"/>
      <c r="O191" s="20" t="s">
        <v>2462</v>
      </c>
      <c r="P191" s="13"/>
      <c r="Q191" s="20" t="s">
        <v>2462</v>
      </c>
      <c r="R191" s="20"/>
      <c r="S191" s="13" t="s">
        <v>2458</v>
      </c>
      <c r="T191" s="20"/>
      <c r="U191" s="13" t="s">
        <v>2458</v>
      </c>
    </row>
    <row r="192" spans="1:21" ht="15.75" customHeight="1" x14ac:dyDescent="0.2">
      <c r="A192" s="26" t="s">
        <v>1903</v>
      </c>
      <c r="B192" s="13" t="s">
        <v>2463</v>
      </c>
      <c r="C192" s="13">
        <v>1</v>
      </c>
      <c r="D192" s="13"/>
      <c r="E192" s="13" t="s">
        <v>2240</v>
      </c>
      <c r="F192" s="13"/>
      <c r="G192" s="13" t="s">
        <v>2464</v>
      </c>
      <c r="H192" s="20"/>
      <c r="I192" s="13" t="s">
        <v>2464</v>
      </c>
      <c r="J192" s="13"/>
      <c r="K192" s="13" t="s">
        <v>2465</v>
      </c>
      <c r="L192" s="13"/>
      <c r="M192" s="13" t="s">
        <v>2466</v>
      </c>
      <c r="N192" s="13"/>
      <c r="O192" s="13" t="s">
        <v>2467</v>
      </c>
      <c r="P192" s="13"/>
      <c r="Q192" s="13" t="s">
        <v>2467</v>
      </c>
      <c r="R192" s="13"/>
      <c r="S192" s="13" t="s">
        <v>2453</v>
      </c>
      <c r="T192" s="13"/>
      <c r="U192" s="13" t="s">
        <v>2453</v>
      </c>
    </row>
    <row r="193" spans="1:21" ht="15.75" customHeight="1" x14ac:dyDescent="0.2">
      <c r="A193" s="26" t="s">
        <v>1222</v>
      </c>
      <c r="B193" s="13" t="s">
        <v>1223</v>
      </c>
      <c r="C193" s="13">
        <v>2</v>
      </c>
      <c r="D193" s="13"/>
      <c r="E193" s="13" t="s">
        <v>2078</v>
      </c>
      <c r="F193" s="13"/>
      <c r="G193" s="13" t="s">
        <v>2468</v>
      </c>
      <c r="H193" s="20"/>
      <c r="I193" s="13" t="s">
        <v>2468</v>
      </c>
      <c r="J193" s="13"/>
      <c r="K193" s="20" t="s">
        <v>2469</v>
      </c>
      <c r="L193" s="13"/>
      <c r="M193" s="20" t="s">
        <v>2469</v>
      </c>
      <c r="N193" s="13"/>
      <c r="O193" s="13" t="s">
        <v>2470</v>
      </c>
      <c r="P193" s="13"/>
      <c r="Q193" s="13" t="s">
        <v>2471</v>
      </c>
      <c r="R193" s="13"/>
      <c r="S193" s="13" t="s">
        <v>2472</v>
      </c>
      <c r="T193" s="13"/>
      <c r="U193" s="13" t="s">
        <v>2472</v>
      </c>
    </row>
    <row r="194" spans="1:21" ht="15.75" customHeight="1" x14ac:dyDescent="0.2">
      <c r="A194" s="26" t="s">
        <v>2473</v>
      </c>
      <c r="B194" s="13" t="s">
        <v>1888</v>
      </c>
      <c r="C194" s="13">
        <v>2</v>
      </c>
      <c r="D194" s="13"/>
      <c r="E194" s="13"/>
      <c r="F194" s="13"/>
      <c r="G194" s="23" t="s">
        <v>2124</v>
      </c>
      <c r="H194" s="20"/>
      <c r="I194" s="23" t="s">
        <v>2125</v>
      </c>
      <c r="J194" s="13" t="s">
        <v>2063</v>
      </c>
      <c r="K194" s="23" t="s">
        <v>2316</v>
      </c>
      <c r="L194" s="13" t="s">
        <v>2063</v>
      </c>
      <c r="M194" s="13" t="s">
        <v>2316</v>
      </c>
      <c r="N194" s="13"/>
      <c r="O194" s="13" t="s">
        <v>2474</v>
      </c>
      <c r="P194" s="13"/>
      <c r="Q194" s="13" t="s">
        <v>2474</v>
      </c>
      <c r="R194" s="13"/>
      <c r="S194" s="13" t="s">
        <v>2475</v>
      </c>
      <c r="T194" s="13"/>
      <c r="U194" s="13" t="s">
        <v>2475</v>
      </c>
    </row>
    <row r="195" spans="1:21" ht="15.75" customHeight="1" x14ac:dyDescent="0.2">
      <c r="A195" s="26" t="s">
        <v>658</v>
      </c>
      <c r="B195" s="13" t="s">
        <v>659</v>
      </c>
      <c r="C195" s="13">
        <v>3</v>
      </c>
      <c r="D195" s="13"/>
      <c r="E195" s="13"/>
      <c r="F195" s="13"/>
      <c r="G195" s="13"/>
      <c r="H195" s="13" t="s">
        <v>2061</v>
      </c>
      <c r="I195" s="13" t="s">
        <v>2476</v>
      </c>
      <c r="J195" s="13" t="s">
        <v>2477</v>
      </c>
      <c r="K195" s="13" t="s">
        <v>2316</v>
      </c>
      <c r="L195" s="13" t="s">
        <v>2477</v>
      </c>
      <c r="M195" s="13" t="s">
        <v>2316</v>
      </c>
      <c r="N195" s="13"/>
      <c r="O195" s="13" t="s">
        <v>2478</v>
      </c>
      <c r="P195" s="13"/>
      <c r="Q195" s="13" t="s">
        <v>2478</v>
      </c>
      <c r="R195" s="13"/>
      <c r="S195" s="13" t="s">
        <v>2475</v>
      </c>
      <c r="T195" s="13"/>
      <c r="U195" s="13" t="s">
        <v>2475</v>
      </c>
    </row>
    <row r="196" spans="1:21" ht="15.75" customHeight="1" x14ac:dyDescent="0.2">
      <c r="A196" s="26" t="s">
        <v>880</v>
      </c>
      <c r="B196" s="13" t="s">
        <v>882</v>
      </c>
      <c r="C196" s="13">
        <v>1</v>
      </c>
      <c r="D196" s="13"/>
      <c r="E196" s="13" t="s">
        <v>2445</v>
      </c>
      <c r="F196" s="13"/>
      <c r="G196" s="13" t="s">
        <v>2445</v>
      </c>
      <c r="H196" s="20"/>
      <c r="I196" s="13" t="s">
        <v>2454</v>
      </c>
      <c r="J196" s="13"/>
      <c r="K196" s="13" t="s">
        <v>2316</v>
      </c>
      <c r="L196" s="13"/>
      <c r="M196" s="13" t="s">
        <v>2316</v>
      </c>
      <c r="N196" s="13"/>
      <c r="O196" s="13" t="s">
        <v>2474</v>
      </c>
      <c r="P196" s="13"/>
      <c r="Q196" s="13" t="s">
        <v>2474</v>
      </c>
      <c r="R196" s="13"/>
      <c r="S196" s="13" t="s">
        <v>2475</v>
      </c>
      <c r="T196" s="13"/>
      <c r="U196" s="13" t="s">
        <v>2475</v>
      </c>
    </row>
    <row r="197" spans="1:21" ht="15.75" customHeight="1" x14ac:dyDescent="0.2">
      <c r="A197" s="26" t="s">
        <v>927</v>
      </c>
      <c r="B197" s="13" t="s">
        <v>928</v>
      </c>
      <c r="C197" s="13">
        <v>5</v>
      </c>
      <c r="D197" s="13"/>
      <c r="E197" s="13"/>
      <c r="F197" s="13"/>
      <c r="G197" s="13"/>
      <c r="H197" s="13" t="s">
        <v>2281</v>
      </c>
      <c r="I197" s="13" t="s">
        <v>2479</v>
      </c>
      <c r="J197" s="13"/>
      <c r="K197" s="20" t="s">
        <v>2469</v>
      </c>
      <c r="L197" s="13"/>
      <c r="M197" s="20" t="s">
        <v>2469</v>
      </c>
      <c r="N197" s="13"/>
      <c r="O197" s="13" t="s">
        <v>2480</v>
      </c>
      <c r="P197" s="13"/>
      <c r="Q197" s="13" t="s">
        <v>2480</v>
      </c>
      <c r="R197" s="13"/>
      <c r="S197" s="13" t="s">
        <v>2475</v>
      </c>
      <c r="T197" s="13"/>
      <c r="U197" s="13" t="s">
        <v>2475</v>
      </c>
    </row>
    <row r="198" spans="1:21" ht="15.75" customHeight="1" x14ac:dyDescent="0.2">
      <c r="A198" s="26" t="s">
        <v>1864</v>
      </c>
      <c r="B198" s="13" t="s">
        <v>1865</v>
      </c>
      <c r="C198" s="13">
        <v>1</v>
      </c>
      <c r="D198" s="13"/>
      <c r="E198" s="13" t="s">
        <v>2078</v>
      </c>
      <c r="F198" s="13"/>
      <c r="G198" s="13" t="s">
        <v>2454</v>
      </c>
      <c r="H198" s="20"/>
      <c r="I198" s="13" t="s">
        <v>2454</v>
      </c>
      <c r="J198" s="13"/>
      <c r="K198" s="13" t="s">
        <v>2316</v>
      </c>
      <c r="L198" s="13"/>
      <c r="M198" s="13" t="s">
        <v>2316</v>
      </c>
      <c r="N198" s="13"/>
      <c r="O198" s="13" t="s">
        <v>2481</v>
      </c>
      <c r="P198" s="13"/>
      <c r="Q198" s="13" t="s">
        <v>2481</v>
      </c>
      <c r="R198" s="13"/>
      <c r="S198" s="13" t="s">
        <v>2482</v>
      </c>
      <c r="T198" s="13"/>
      <c r="U198" s="13" t="s">
        <v>2483</v>
      </c>
    </row>
    <row r="199" spans="1:21" ht="15.75" customHeight="1" x14ac:dyDescent="0.2">
      <c r="A199" s="26" t="s">
        <v>871</v>
      </c>
      <c r="B199" s="13" t="s">
        <v>2484</v>
      </c>
      <c r="C199" s="13">
        <v>1</v>
      </c>
      <c r="D199" s="13"/>
      <c r="E199" s="13"/>
      <c r="F199" s="13"/>
      <c r="G199" s="20" t="s">
        <v>2485</v>
      </c>
      <c r="H199" s="20"/>
      <c r="I199" s="13" t="s">
        <v>2486</v>
      </c>
      <c r="J199" s="13" t="s">
        <v>2487</v>
      </c>
      <c r="K199" s="13" t="s">
        <v>2488</v>
      </c>
      <c r="L199" s="13"/>
      <c r="M199" s="13" t="s">
        <v>2348</v>
      </c>
      <c r="N199" s="13"/>
      <c r="O199" s="13" t="s">
        <v>2412</v>
      </c>
      <c r="P199" s="13"/>
      <c r="Q199" s="13" t="s">
        <v>2412</v>
      </c>
      <c r="R199" s="13"/>
      <c r="S199" s="13" t="s">
        <v>2483</v>
      </c>
      <c r="T199" s="13" t="s">
        <v>2489</v>
      </c>
      <c r="U199" s="13" t="s">
        <v>2483</v>
      </c>
    </row>
    <row r="200" spans="1:21" ht="15.75" customHeight="1" x14ac:dyDescent="0.2">
      <c r="A200" s="26" t="s">
        <v>1883</v>
      </c>
      <c r="B200" s="13" t="s">
        <v>1884</v>
      </c>
      <c r="C200" s="13">
        <v>1</v>
      </c>
      <c r="D200" s="13"/>
      <c r="E200" s="13" t="s">
        <v>1947</v>
      </c>
      <c r="F200" s="13"/>
      <c r="G200" s="13" t="s">
        <v>2454</v>
      </c>
      <c r="H200" s="20"/>
      <c r="I200" s="13" t="s">
        <v>2454</v>
      </c>
      <c r="J200" s="13"/>
      <c r="K200" s="13" t="s">
        <v>2316</v>
      </c>
      <c r="L200" s="13"/>
      <c r="M200" s="13" t="s">
        <v>2316</v>
      </c>
      <c r="N200" s="13"/>
      <c r="O200" s="13" t="s">
        <v>2412</v>
      </c>
      <c r="P200" s="13"/>
      <c r="Q200" s="13" t="s">
        <v>2412</v>
      </c>
      <c r="R200" s="13"/>
      <c r="S200" s="13" t="s">
        <v>2482</v>
      </c>
      <c r="T200" s="13"/>
      <c r="U200" s="13" t="s">
        <v>2483</v>
      </c>
    </row>
    <row r="201" spans="1:21" ht="15.75" customHeight="1" x14ac:dyDescent="0.2">
      <c r="A201" s="26" t="s">
        <v>970</v>
      </c>
      <c r="B201" s="13" t="s">
        <v>971</v>
      </c>
      <c r="C201" s="13">
        <v>2</v>
      </c>
      <c r="D201" s="13"/>
      <c r="E201" s="13" t="s">
        <v>2078</v>
      </c>
      <c r="F201" s="13"/>
      <c r="G201" s="13" t="s">
        <v>2078</v>
      </c>
      <c r="H201" s="20"/>
      <c r="I201" s="13" t="s">
        <v>2454</v>
      </c>
      <c r="J201" s="13"/>
      <c r="K201" s="13" t="s">
        <v>2316</v>
      </c>
      <c r="L201" s="13"/>
      <c r="M201" s="13" t="s">
        <v>2316</v>
      </c>
      <c r="N201" s="13"/>
      <c r="O201" s="13" t="s">
        <v>2412</v>
      </c>
      <c r="P201" s="13"/>
      <c r="Q201" s="13" t="s">
        <v>2412</v>
      </c>
      <c r="R201" s="13"/>
      <c r="S201" s="13" t="s">
        <v>2490</v>
      </c>
      <c r="T201" s="13"/>
      <c r="U201" s="13" t="s">
        <v>2491</v>
      </c>
    </row>
    <row r="202" spans="1:21" ht="15.75" customHeight="1" x14ac:dyDescent="0.2">
      <c r="A202" s="26" t="s">
        <v>888</v>
      </c>
      <c r="B202" s="13" t="s">
        <v>889</v>
      </c>
      <c r="C202" s="13">
        <v>1</v>
      </c>
      <c r="D202" s="13"/>
      <c r="E202" s="13" t="s">
        <v>2492</v>
      </c>
      <c r="F202" s="13"/>
      <c r="G202" s="13" t="s">
        <v>2493</v>
      </c>
      <c r="H202" s="20"/>
      <c r="I202" s="13" t="s">
        <v>2493</v>
      </c>
      <c r="J202" s="13"/>
      <c r="K202" s="13" t="s">
        <v>2316</v>
      </c>
      <c r="L202" s="13"/>
      <c r="M202" s="13" t="s">
        <v>2316</v>
      </c>
      <c r="N202" s="13"/>
      <c r="O202" s="13" t="s">
        <v>2412</v>
      </c>
      <c r="P202" s="13"/>
      <c r="Q202" s="13" t="s">
        <v>2412</v>
      </c>
      <c r="R202" s="13"/>
      <c r="S202" s="13" t="s">
        <v>2482</v>
      </c>
      <c r="T202" s="13"/>
      <c r="U202" s="13" t="s">
        <v>2483</v>
      </c>
    </row>
    <row r="203" spans="1:21" ht="15.75" customHeight="1" x14ac:dyDescent="0.2">
      <c r="A203" s="26" t="s">
        <v>68</v>
      </c>
      <c r="B203" s="13" t="s">
        <v>1885</v>
      </c>
      <c r="C203" s="13">
        <v>4</v>
      </c>
      <c r="D203" s="13"/>
      <c r="E203" s="20" t="s">
        <v>2420</v>
      </c>
      <c r="F203" s="20"/>
      <c r="G203" s="13" t="s">
        <v>2335</v>
      </c>
      <c r="H203" s="20"/>
      <c r="I203" s="13" t="s">
        <v>2335</v>
      </c>
      <c r="J203" s="13"/>
      <c r="K203" s="13" t="s">
        <v>2316</v>
      </c>
      <c r="L203" s="13"/>
      <c r="M203" s="13" t="s">
        <v>2316</v>
      </c>
      <c r="N203" s="13"/>
      <c r="O203" s="13" t="s">
        <v>2412</v>
      </c>
      <c r="P203" s="13"/>
      <c r="Q203" s="13" t="s">
        <v>2412</v>
      </c>
      <c r="R203" s="13"/>
      <c r="S203" s="13" t="s">
        <v>2494</v>
      </c>
      <c r="T203" s="13"/>
      <c r="U203" s="13" t="s">
        <v>2494</v>
      </c>
    </row>
    <row r="204" spans="1:21" ht="15.75" customHeight="1" x14ac:dyDescent="0.2">
      <c r="A204" s="26" t="s">
        <v>1515</v>
      </c>
      <c r="B204" s="13" t="s">
        <v>1516</v>
      </c>
      <c r="C204" s="13">
        <v>4</v>
      </c>
      <c r="D204" s="13"/>
      <c r="E204" s="13" t="s">
        <v>2078</v>
      </c>
      <c r="F204" s="13"/>
      <c r="G204" s="13" t="s">
        <v>2454</v>
      </c>
      <c r="H204" s="20"/>
      <c r="I204" s="13" t="s">
        <v>2454</v>
      </c>
      <c r="J204" s="13"/>
      <c r="K204" s="13" t="s">
        <v>2495</v>
      </c>
      <c r="L204" s="13"/>
      <c r="M204" s="13" t="s">
        <v>2495</v>
      </c>
      <c r="N204" s="13"/>
      <c r="O204" s="13" t="s">
        <v>2496</v>
      </c>
      <c r="P204" s="13"/>
      <c r="Q204" s="13" t="s">
        <v>2412</v>
      </c>
      <c r="R204" s="13"/>
      <c r="S204" s="13" t="s">
        <v>2497</v>
      </c>
      <c r="T204" s="13"/>
      <c r="U204" s="13" t="s">
        <v>2497</v>
      </c>
    </row>
    <row r="205" spans="1:21" ht="15.75" customHeight="1" x14ac:dyDescent="0.2">
      <c r="A205" s="26" t="s">
        <v>942</v>
      </c>
      <c r="B205" s="13" t="s">
        <v>943</v>
      </c>
      <c r="C205" s="13">
        <v>3</v>
      </c>
      <c r="D205" s="13"/>
      <c r="E205" s="13" t="s">
        <v>2078</v>
      </c>
      <c r="F205" s="13"/>
      <c r="G205" s="13" t="s">
        <v>2498</v>
      </c>
      <c r="H205" s="20"/>
      <c r="I205" s="13" t="s">
        <v>2498</v>
      </c>
      <c r="J205" s="13"/>
      <c r="K205" s="13" t="s">
        <v>2316</v>
      </c>
      <c r="L205" s="13"/>
      <c r="M205" s="13" t="s">
        <v>2316</v>
      </c>
      <c r="N205" s="13"/>
      <c r="O205" s="13" t="s">
        <v>2499</v>
      </c>
      <c r="P205" s="13"/>
      <c r="Q205" s="13" t="s">
        <v>2354</v>
      </c>
      <c r="R205" s="13"/>
      <c r="S205" s="13" t="s">
        <v>2500</v>
      </c>
      <c r="T205" s="13"/>
      <c r="U205" s="13" t="s">
        <v>2500</v>
      </c>
    </row>
    <row r="206" spans="1:21" ht="15.75" customHeight="1" x14ac:dyDescent="0.2">
      <c r="A206" s="26" t="s">
        <v>958</v>
      </c>
      <c r="B206" s="13" t="s">
        <v>959</v>
      </c>
      <c r="C206" s="13">
        <v>8</v>
      </c>
      <c r="D206" s="13"/>
      <c r="E206" s="13" t="s">
        <v>2240</v>
      </c>
      <c r="F206" s="13"/>
      <c r="G206" s="13" t="s">
        <v>2240</v>
      </c>
      <c r="H206" s="20"/>
      <c r="I206" s="13" t="s">
        <v>2454</v>
      </c>
      <c r="J206" s="13"/>
      <c r="K206" s="13" t="s">
        <v>2501</v>
      </c>
      <c r="L206" s="13"/>
      <c r="M206" s="13" t="s">
        <v>2456</v>
      </c>
      <c r="N206" s="13"/>
      <c r="O206" s="20" t="s">
        <v>2502</v>
      </c>
      <c r="P206" s="13"/>
      <c r="Q206" s="20" t="s">
        <v>2502</v>
      </c>
      <c r="R206" s="20"/>
      <c r="S206" s="13" t="s">
        <v>2500</v>
      </c>
      <c r="T206" s="20"/>
      <c r="U206" s="13" t="s">
        <v>2500</v>
      </c>
    </row>
    <row r="207" spans="1:21" ht="15.75" customHeight="1" x14ac:dyDescent="0.2">
      <c r="A207" s="26" t="s">
        <v>914</v>
      </c>
      <c r="B207" s="13" t="s">
        <v>915</v>
      </c>
      <c r="C207" s="13">
        <v>1</v>
      </c>
      <c r="D207" s="13"/>
      <c r="E207" s="13" t="s">
        <v>2078</v>
      </c>
      <c r="F207" s="13"/>
      <c r="G207" s="13" t="s">
        <v>2454</v>
      </c>
      <c r="H207" s="20"/>
      <c r="I207" s="13" t="s">
        <v>2454</v>
      </c>
      <c r="J207" s="13"/>
      <c r="K207" s="13" t="s">
        <v>2316</v>
      </c>
      <c r="L207" s="13"/>
      <c r="M207" s="13" t="s">
        <v>2316</v>
      </c>
      <c r="N207" s="13"/>
      <c r="O207" s="13" t="s">
        <v>2503</v>
      </c>
      <c r="P207" s="13"/>
      <c r="Q207" s="13" t="s">
        <v>2503</v>
      </c>
      <c r="R207" s="13"/>
      <c r="S207" s="13" t="s">
        <v>2500</v>
      </c>
      <c r="T207" s="13"/>
      <c r="U207" s="13" t="s">
        <v>2500</v>
      </c>
    </row>
    <row r="208" spans="1:21" ht="15.75" customHeight="1" x14ac:dyDescent="0.2">
      <c r="A208" s="26" t="s">
        <v>936</v>
      </c>
      <c r="B208" s="13" t="s">
        <v>937</v>
      </c>
      <c r="C208" s="13">
        <v>4</v>
      </c>
      <c r="D208" s="13"/>
      <c r="E208" s="13" t="s">
        <v>2450</v>
      </c>
      <c r="F208" s="13"/>
      <c r="G208" s="13" t="s">
        <v>2504</v>
      </c>
      <c r="H208" s="20"/>
      <c r="I208" s="13" t="s">
        <v>2504</v>
      </c>
      <c r="J208" s="13"/>
      <c r="K208" s="13" t="s">
        <v>2316</v>
      </c>
      <c r="L208" s="13"/>
      <c r="M208" s="13" t="s">
        <v>2316</v>
      </c>
      <c r="N208" s="13"/>
      <c r="O208" s="13" t="s">
        <v>2505</v>
      </c>
      <c r="P208" s="13"/>
      <c r="Q208" s="13" t="s">
        <v>2505</v>
      </c>
      <c r="R208" s="13"/>
      <c r="S208" s="13" t="s">
        <v>2500</v>
      </c>
      <c r="T208" s="13"/>
      <c r="U208" s="13" t="s">
        <v>2500</v>
      </c>
    </row>
    <row r="209" spans="1:21" ht="15.75" customHeight="1" x14ac:dyDescent="0.2">
      <c r="A209" s="26" t="s">
        <v>1070</v>
      </c>
      <c r="B209" s="13" t="s">
        <v>1071</v>
      </c>
      <c r="C209" s="13">
        <v>5</v>
      </c>
      <c r="D209" s="13"/>
      <c r="E209" s="13" t="s">
        <v>2506</v>
      </c>
      <c r="F209" s="13"/>
      <c r="G209" s="13" t="s">
        <v>2507</v>
      </c>
      <c r="H209" s="20"/>
      <c r="I209" s="13" t="s">
        <v>2508</v>
      </c>
      <c r="J209" s="13"/>
      <c r="K209" s="13" t="s">
        <v>2509</v>
      </c>
      <c r="L209" s="13"/>
      <c r="M209" s="13" t="s">
        <v>2509</v>
      </c>
      <c r="N209" s="13"/>
      <c r="O209" s="13" t="s">
        <v>2510</v>
      </c>
      <c r="P209" s="13"/>
      <c r="Q209" s="13" t="s">
        <v>2510</v>
      </c>
      <c r="R209" s="13"/>
      <c r="S209" s="13" t="s">
        <v>2500</v>
      </c>
      <c r="T209" s="13"/>
      <c r="U209" s="13" t="s">
        <v>2500</v>
      </c>
    </row>
    <row r="210" spans="1:21" ht="15.75" customHeight="1" x14ac:dyDescent="0.2">
      <c r="A210" s="26" t="s">
        <v>962</v>
      </c>
      <c r="B210" s="13" t="s">
        <v>963</v>
      </c>
      <c r="C210" s="13">
        <v>3</v>
      </c>
      <c r="D210" s="13"/>
      <c r="E210" s="13" t="s">
        <v>2511</v>
      </c>
      <c r="F210" s="13"/>
      <c r="G210" s="20" t="s">
        <v>2454</v>
      </c>
      <c r="H210" s="20"/>
      <c r="I210" s="13" t="s">
        <v>2454</v>
      </c>
      <c r="J210" s="13"/>
      <c r="K210" s="13" t="s">
        <v>2512</v>
      </c>
      <c r="L210" s="13"/>
      <c r="M210" s="13" t="s">
        <v>2512</v>
      </c>
      <c r="N210" s="13"/>
      <c r="O210" s="13" t="s">
        <v>2513</v>
      </c>
      <c r="P210" s="13"/>
      <c r="Q210" s="13" t="s">
        <v>2513</v>
      </c>
      <c r="R210" s="13"/>
      <c r="S210" s="13" t="s">
        <v>2500</v>
      </c>
      <c r="T210" s="13"/>
      <c r="U210" s="13" t="s">
        <v>2500</v>
      </c>
    </row>
    <row r="211" spans="1:21" ht="15.75" customHeight="1" x14ac:dyDescent="0.2">
      <c r="A211" s="26" t="s">
        <v>792</v>
      </c>
      <c r="B211" s="13" t="s">
        <v>793</v>
      </c>
      <c r="C211" s="13">
        <v>1</v>
      </c>
      <c r="D211" s="13"/>
      <c r="E211" s="13" t="s">
        <v>2078</v>
      </c>
      <c r="F211" s="13"/>
      <c r="G211" s="13" t="s">
        <v>2514</v>
      </c>
      <c r="H211" s="20"/>
      <c r="I211" s="13" t="s">
        <v>2464</v>
      </c>
      <c r="J211" s="13"/>
      <c r="K211" s="20" t="s">
        <v>2469</v>
      </c>
      <c r="L211" s="13"/>
      <c r="M211" s="20" t="s">
        <v>2469</v>
      </c>
      <c r="N211" s="13"/>
      <c r="O211" s="13" t="s">
        <v>2480</v>
      </c>
      <c r="P211" s="13"/>
      <c r="Q211" s="13" t="s">
        <v>2418</v>
      </c>
      <c r="R211" s="13"/>
      <c r="S211" s="13" t="s">
        <v>2500</v>
      </c>
      <c r="T211" s="13"/>
      <c r="U211" s="13" t="s">
        <v>2500</v>
      </c>
    </row>
    <row r="212" spans="1:21" ht="15.75" customHeight="1" x14ac:dyDescent="0.2">
      <c r="A212" s="26" t="s">
        <v>771</v>
      </c>
      <c r="B212" s="13" t="s">
        <v>772</v>
      </c>
      <c r="C212" s="13">
        <v>2</v>
      </c>
      <c r="D212" s="13"/>
      <c r="E212" s="13" t="s">
        <v>2515</v>
      </c>
      <c r="F212" s="13"/>
      <c r="G212" s="13" t="s">
        <v>2337</v>
      </c>
      <c r="H212" s="20"/>
      <c r="I212" s="20" t="s">
        <v>2357</v>
      </c>
      <c r="J212" s="13"/>
      <c r="K212" s="20" t="s">
        <v>2357</v>
      </c>
      <c r="L212" s="20"/>
      <c r="M212" s="13" t="s">
        <v>2316</v>
      </c>
      <c r="N212" s="13"/>
      <c r="O212" s="13" t="s">
        <v>2480</v>
      </c>
      <c r="P212" s="13"/>
      <c r="Q212" s="13" t="s">
        <v>2480</v>
      </c>
      <c r="R212" s="13"/>
      <c r="S212" s="13" t="s">
        <v>2500</v>
      </c>
      <c r="T212" s="13"/>
      <c r="U212" s="13" t="s">
        <v>2500</v>
      </c>
    </row>
    <row r="213" spans="1:21" ht="15.75" customHeight="1" x14ac:dyDescent="0.2">
      <c r="A213" s="26" t="s">
        <v>972</v>
      </c>
      <c r="B213" s="13" t="s">
        <v>973</v>
      </c>
      <c r="C213" s="13">
        <v>2</v>
      </c>
      <c r="D213" s="13"/>
      <c r="E213" s="13" t="s">
        <v>2516</v>
      </c>
      <c r="F213" s="13"/>
      <c r="G213" s="20" t="s">
        <v>2454</v>
      </c>
      <c r="H213" s="20"/>
      <c r="I213" s="13" t="s">
        <v>2454</v>
      </c>
      <c r="J213" s="13"/>
      <c r="K213" s="13" t="s">
        <v>2316</v>
      </c>
      <c r="L213" s="13"/>
      <c r="M213" s="13" t="s">
        <v>2316</v>
      </c>
      <c r="N213" s="13"/>
      <c r="O213" s="13" t="s">
        <v>2517</v>
      </c>
      <c r="P213" s="13"/>
      <c r="Q213" s="13" t="s">
        <v>2517</v>
      </c>
      <c r="R213" s="13"/>
      <c r="S213" s="13" t="s">
        <v>2500</v>
      </c>
      <c r="T213" s="13"/>
      <c r="U213" s="13" t="s">
        <v>2500</v>
      </c>
    </row>
    <row r="214" spans="1:21" ht="15.75" customHeight="1" x14ac:dyDescent="0.2">
      <c r="A214" s="26" t="s">
        <v>1178</v>
      </c>
      <c r="B214" s="13" t="s">
        <v>998</v>
      </c>
      <c r="C214" s="22">
        <v>2</v>
      </c>
      <c r="D214" s="22"/>
      <c r="E214" s="13" t="s">
        <v>2078</v>
      </c>
      <c r="F214" s="13"/>
      <c r="G214" s="13" t="s">
        <v>2078</v>
      </c>
      <c r="H214" s="20"/>
      <c r="I214" s="13" t="s">
        <v>2454</v>
      </c>
      <c r="J214" s="13"/>
      <c r="K214" s="13" t="s">
        <v>2316</v>
      </c>
      <c r="L214" s="13"/>
      <c r="M214" s="13" t="s">
        <v>2316</v>
      </c>
      <c r="N214" s="13"/>
      <c r="O214" s="13" t="s">
        <v>2517</v>
      </c>
      <c r="P214" s="13"/>
      <c r="Q214" s="13" t="s">
        <v>2517</v>
      </c>
      <c r="R214" s="13"/>
      <c r="S214" s="13" t="s">
        <v>2500</v>
      </c>
      <c r="T214" s="13"/>
      <c r="U214" s="13" t="s">
        <v>2500</v>
      </c>
    </row>
    <row r="215" spans="1:21" ht="15.75" customHeight="1" x14ac:dyDescent="0.2">
      <c r="A215" s="26" t="s">
        <v>950</v>
      </c>
      <c r="B215" s="13" t="s">
        <v>951</v>
      </c>
      <c r="C215" s="13">
        <v>4</v>
      </c>
      <c r="D215" s="13"/>
      <c r="E215" s="13" t="s">
        <v>2078</v>
      </c>
      <c r="F215" s="13"/>
      <c r="G215" s="20"/>
      <c r="H215" s="20"/>
      <c r="I215" s="13" t="s">
        <v>2454</v>
      </c>
      <c r="J215" s="13"/>
      <c r="K215" s="13" t="s">
        <v>2316</v>
      </c>
      <c r="L215" s="13"/>
      <c r="M215" s="13" t="s">
        <v>2316</v>
      </c>
      <c r="N215" s="13"/>
      <c r="O215" s="13" t="s">
        <v>2517</v>
      </c>
      <c r="P215" s="13"/>
      <c r="Q215" s="13" t="s">
        <v>2517</v>
      </c>
      <c r="R215" s="13"/>
      <c r="S215" s="13" t="s">
        <v>2500</v>
      </c>
      <c r="T215" s="13"/>
      <c r="U215" s="13" t="s">
        <v>2500</v>
      </c>
    </row>
    <row r="216" spans="1:21" ht="15.75" customHeight="1" x14ac:dyDescent="0.2">
      <c r="A216" s="26" t="s">
        <v>946</v>
      </c>
      <c r="B216" s="13" t="s">
        <v>947</v>
      </c>
      <c r="C216" s="13">
        <v>4</v>
      </c>
      <c r="D216" s="13"/>
      <c r="E216" s="13" t="s">
        <v>2078</v>
      </c>
      <c r="F216" s="13"/>
      <c r="G216" s="13" t="s">
        <v>2464</v>
      </c>
      <c r="H216" s="20"/>
      <c r="I216" s="13" t="s">
        <v>2464</v>
      </c>
      <c r="J216" s="13"/>
      <c r="K216" s="13" t="s">
        <v>2316</v>
      </c>
      <c r="L216" s="13"/>
      <c r="M216" s="13" t="s">
        <v>2316</v>
      </c>
      <c r="N216" s="13"/>
      <c r="O216" s="13" t="s">
        <v>2517</v>
      </c>
      <c r="P216" s="13"/>
      <c r="Q216" s="13" t="s">
        <v>2517</v>
      </c>
      <c r="R216" s="13"/>
      <c r="S216" s="13" t="s">
        <v>2500</v>
      </c>
      <c r="T216" s="13"/>
      <c r="U216" s="13" t="s">
        <v>2500</v>
      </c>
    </row>
    <row r="217" spans="1:21" ht="15.75" customHeight="1" x14ac:dyDescent="0.2">
      <c r="A217" s="26" t="s">
        <v>129</v>
      </c>
      <c r="B217" s="13" t="s">
        <v>1134</v>
      </c>
      <c r="C217" s="13">
        <v>4</v>
      </c>
      <c r="D217" s="13"/>
      <c r="E217" s="13" t="s">
        <v>2428</v>
      </c>
      <c r="F217" s="13"/>
      <c r="G217" s="13" t="s">
        <v>2428</v>
      </c>
      <c r="H217" s="20"/>
      <c r="I217" s="13" t="s">
        <v>2454</v>
      </c>
      <c r="J217" s="13"/>
      <c r="K217" s="13" t="s">
        <v>2316</v>
      </c>
      <c r="L217" s="13"/>
      <c r="M217" s="13" t="s">
        <v>2316</v>
      </c>
      <c r="N217" s="13"/>
      <c r="O217" s="13" t="s">
        <v>2412</v>
      </c>
      <c r="P217" s="13"/>
      <c r="Q217" s="13" t="s">
        <v>2412</v>
      </c>
      <c r="R217" s="13"/>
      <c r="S217" s="13" t="s">
        <v>2500</v>
      </c>
      <c r="T217" s="13"/>
      <c r="U217" s="13" t="s">
        <v>2500</v>
      </c>
    </row>
    <row r="218" spans="1:21" ht="15.75" customHeight="1" x14ac:dyDescent="0.2">
      <c r="A218" s="26" t="s">
        <v>980</v>
      </c>
      <c r="B218" s="13" t="s">
        <v>981</v>
      </c>
      <c r="C218" s="13">
        <v>1</v>
      </c>
      <c r="D218" s="13"/>
      <c r="E218" s="13" t="s">
        <v>2078</v>
      </c>
      <c r="F218" s="13"/>
      <c r="G218" s="13" t="s">
        <v>2454</v>
      </c>
      <c r="H218" s="20"/>
      <c r="I218" s="13" t="s">
        <v>2454</v>
      </c>
      <c r="J218" s="13"/>
      <c r="K218" s="13" t="s">
        <v>2316</v>
      </c>
      <c r="L218" s="13"/>
      <c r="M218" s="13" t="s">
        <v>2316</v>
      </c>
      <c r="N218" s="13"/>
      <c r="O218" s="13" t="s">
        <v>2412</v>
      </c>
      <c r="P218" s="13"/>
      <c r="Q218" s="13" t="s">
        <v>2412</v>
      </c>
      <c r="R218" s="13"/>
      <c r="S218" s="13" t="s">
        <v>2500</v>
      </c>
      <c r="T218" s="13"/>
      <c r="U218" s="13" t="s">
        <v>2500</v>
      </c>
    </row>
    <row r="219" spans="1:21" ht="15.75" customHeight="1" x14ac:dyDescent="0.2">
      <c r="A219" s="26" t="s">
        <v>1889</v>
      </c>
      <c r="B219" s="13" t="s">
        <v>1890</v>
      </c>
      <c r="C219" s="13">
        <v>1</v>
      </c>
      <c r="D219" s="13"/>
      <c r="E219" s="13" t="s">
        <v>2078</v>
      </c>
      <c r="F219" s="13"/>
      <c r="G219" s="13" t="s">
        <v>2454</v>
      </c>
      <c r="H219" s="20"/>
      <c r="I219" s="13" t="s">
        <v>2454</v>
      </c>
      <c r="J219" s="13"/>
      <c r="K219" s="13" t="s">
        <v>2316</v>
      </c>
      <c r="L219" s="13"/>
      <c r="M219" s="13" t="s">
        <v>2316</v>
      </c>
      <c r="N219" s="13"/>
      <c r="O219" s="13" t="s">
        <v>2412</v>
      </c>
      <c r="P219" s="13"/>
      <c r="Q219" s="13" t="s">
        <v>2412</v>
      </c>
      <c r="R219" s="13"/>
      <c r="S219" s="13" t="s">
        <v>2500</v>
      </c>
      <c r="T219" s="13"/>
      <c r="U219" s="13" t="s">
        <v>2500</v>
      </c>
    </row>
    <row r="220" spans="1:21" ht="15.75" customHeight="1" x14ac:dyDescent="0.2">
      <c r="A220" s="26" t="s">
        <v>1511</v>
      </c>
      <c r="B220" s="13" t="s">
        <v>1512</v>
      </c>
      <c r="C220" s="13">
        <v>2</v>
      </c>
      <c r="D220" s="13"/>
      <c r="E220" s="13" t="s">
        <v>2078</v>
      </c>
      <c r="F220" s="13"/>
      <c r="G220" s="13" t="s">
        <v>2518</v>
      </c>
      <c r="H220" s="20"/>
      <c r="I220" s="13" t="s">
        <v>2519</v>
      </c>
      <c r="J220" s="13"/>
      <c r="K220" s="13" t="s">
        <v>2519</v>
      </c>
      <c r="L220" s="13"/>
      <c r="M220" s="13" t="s">
        <v>2316</v>
      </c>
      <c r="N220" s="13"/>
      <c r="O220" s="13" t="s">
        <v>2496</v>
      </c>
      <c r="P220" s="13"/>
      <c r="Q220" s="13" t="s">
        <v>2412</v>
      </c>
      <c r="R220" s="13"/>
      <c r="S220" s="13" t="s">
        <v>2500</v>
      </c>
      <c r="T220" s="13"/>
      <c r="U220" s="13" t="s">
        <v>2500</v>
      </c>
    </row>
    <row r="221" spans="1:21" ht="15.75" customHeight="1" x14ac:dyDescent="0.2">
      <c r="A221" s="26" t="s">
        <v>952</v>
      </c>
      <c r="B221" s="13" t="s">
        <v>953</v>
      </c>
      <c r="C221" s="13">
        <v>2</v>
      </c>
      <c r="D221" s="13"/>
      <c r="E221" s="13" t="s">
        <v>2445</v>
      </c>
      <c r="F221" s="13"/>
      <c r="G221" s="13" t="s">
        <v>2445</v>
      </c>
      <c r="H221" s="20"/>
      <c r="I221" s="13" t="s">
        <v>2454</v>
      </c>
      <c r="J221" s="13"/>
      <c r="K221" s="13" t="s">
        <v>2316</v>
      </c>
      <c r="L221" s="13"/>
      <c r="M221" s="13" t="s">
        <v>2316</v>
      </c>
      <c r="N221" s="13"/>
      <c r="O221" s="13" t="s">
        <v>2496</v>
      </c>
      <c r="P221" s="13"/>
      <c r="Q221" s="13" t="s">
        <v>2412</v>
      </c>
      <c r="R221" s="13"/>
      <c r="S221" s="13" t="s">
        <v>2500</v>
      </c>
      <c r="T221" s="13"/>
      <c r="U221" s="13" t="s">
        <v>2500</v>
      </c>
    </row>
    <row r="222" spans="1:21" ht="15.75" customHeight="1" x14ac:dyDescent="0.2">
      <c r="A222" s="26" t="s">
        <v>994</v>
      </c>
      <c r="B222" s="13" t="s">
        <v>995</v>
      </c>
      <c r="C222" s="13">
        <v>4</v>
      </c>
      <c r="D222" s="13"/>
      <c r="E222" s="13" t="s">
        <v>2078</v>
      </c>
      <c r="F222" s="13"/>
      <c r="G222" s="13" t="s">
        <v>2454</v>
      </c>
      <c r="H222" s="20"/>
      <c r="I222" s="13" t="s">
        <v>2454</v>
      </c>
      <c r="J222" s="13"/>
      <c r="K222" s="13" t="s">
        <v>2316</v>
      </c>
      <c r="L222" s="13"/>
      <c r="M222" s="13" t="s">
        <v>2316</v>
      </c>
      <c r="N222" s="13"/>
      <c r="O222" s="13" t="s">
        <v>2496</v>
      </c>
      <c r="P222" s="13"/>
      <c r="Q222" s="13" t="s">
        <v>2412</v>
      </c>
      <c r="R222" s="13"/>
      <c r="S222" s="13" t="s">
        <v>2500</v>
      </c>
      <c r="T222" s="13"/>
      <c r="U222" s="13" t="s">
        <v>2500</v>
      </c>
    </row>
    <row r="223" spans="1:21" ht="15.75" customHeight="1" x14ac:dyDescent="0.2">
      <c r="A223" s="26" t="s">
        <v>19</v>
      </c>
      <c r="B223" s="13" t="s">
        <v>714</v>
      </c>
      <c r="C223" s="13">
        <v>4</v>
      </c>
      <c r="D223" s="13"/>
      <c r="E223" s="13" t="s">
        <v>2078</v>
      </c>
      <c r="F223" s="13"/>
      <c r="G223" s="13" t="s">
        <v>2454</v>
      </c>
      <c r="H223" s="20"/>
      <c r="I223" s="13" t="s">
        <v>2454</v>
      </c>
      <c r="J223" s="13"/>
      <c r="K223" s="13" t="s">
        <v>2316</v>
      </c>
      <c r="L223" s="13"/>
      <c r="M223" s="13" t="s">
        <v>2316</v>
      </c>
      <c r="N223" s="13"/>
      <c r="O223" s="13" t="s">
        <v>2496</v>
      </c>
      <c r="P223" s="13"/>
      <c r="Q223" s="13" t="s">
        <v>2412</v>
      </c>
      <c r="R223" s="13"/>
      <c r="S223" s="13" t="s">
        <v>2500</v>
      </c>
      <c r="T223" s="13"/>
      <c r="U223" s="13" t="s">
        <v>2500</v>
      </c>
    </row>
    <row r="224" spans="1:21" ht="15.75" customHeight="1" x14ac:dyDescent="0.2">
      <c r="A224" s="26" t="s">
        <v>975</v>
      </c>
      <c r="B224" s="13" t="s">
        <v>976</v>
      </c>
      <c r="C224" s="13">
        <v>1</v>
      </c>
      <c r="D224" s="13"/>
      <c r="E224" s="13" t="s">
        <v>2078</v>
      </c>
      <c r="F224" s="13"/>
      <c r="G224" s="13" t="s">
        <v>2454</v>
      </c>
      <c r="H224" s="20"/>
      <c r="I224" s="13" t="s">
        <v>2454</v>
      </c>
      <c r="J224" s="13"/>
      <c r="K224" s="13" t="s">
        <v>2316</v>
      </c>
      <c r="L224" s="13"/>
      <c r="M224" s="13" t="s">
        <v>2316</v>
      </c>
      <c r="N224" s="13"/>
      <c r="O224" s="13" t="s">
        <v>2496</v>
      </c>
      <c r="P224" s="13"/>
      <c r="Q224" s="13" t="s">
        <v>2412</v>
      </c>
      <c r="R224" s="13"/>
      <c r="S224" s="13" t="s">
        <v>2500</v>
      </c>
      <c r="T224" s="13"/>
      <c r="U224" s="13" t="s">
        <v>2500</v>
      </c>
    </row>
    <row r="225" spans="1:21" ht="15.75" customHeight="1" x14ac:dyDescent="0.2">
      <c r="A225" s="26" t="s">
        <v>960</v>
      </c>
      <c r="B225" s="13" t="s">
        <v>961</v>
      </c>
      <c r="C225" s="13">
        <v>3</v>
      </c>
      <c r="D225" s="13"/>
      <c r="E225" s="13" t="s">
        <v>2078</v>
      </c>
      <c r="F225" s="13"/>
      <c r="G225" s="13" t="s">
        <v>2078</v>
      </c>
      <c r="H225" s="20"/>
      <c r="I225" s="13" t="s">
        <v>2454</v>
      </c>
      <c r="J225" s="13"/>
      <c r="K225" s="13" t="s">
        <v>2316</v>
      </c>
      <c r="L225" s="13"/>
      <c r="M225" s="13" t="s">
        <v>2316</v>
      </c>
      <c r="N225" s="13"/>
      <c r="O225" s="13" t="s">
        <v>2496</v>
      </c>
      <c r="P225" s="13"/>
      <c r="Q225" s="13" t="s">
        <v>2412</v>
      </c>
      <c r="R225" s="13"/>
      <c r="S225" s="13" t="s">
        <v>2500</v>
      </c>
      <c r="T225" s="13"/>
      <c r="U225" s="13" t="s">
        <v>2500</v>
      </c>
    </row>
    <row r="226" spans="1:21" ht="15.75" customHeight="1" x14ac:dyDescent="0.2">
      <c r="A226" s="26" t="s">
        <v>989</v>
      </c>
      <c r="B226" s="24" t="s">
        <v>990</v>
      </c>
      <c r="C226" s="13">
        <v>3</v>
      </c>
      <c r="D226" s="13"/>
      <c r="E226" s="13" t="s">
        <v>2078</v>
      </c>
      <c r="F226" s="13"/>
      <c r="G226" s="13" t="s">
        <v>2078</v>
      </c>
      <c r="H226" s="20"/>
      <c r="I226" s="13" t="s">
        <v>2454</v>
      </c>
      <c r="J226" s="13"/>
      <c r="K226" s="13" t="s">
        <v>2316</v>
      </c>
      <c r="L226" s="13"/>
      <c r="M226" s="13" t="s">
        <v>2316</v>
      </c>
      <c r="N226" s="13"/>
      <c r="O226" s="13" t="s">
        <v>2496</v>
      </c>
      <c r="P226" s="13"/>
      <c r="Q226" s="13" t="s">
        <v>2412</v>
      </c>
      <c r="R226" s="13"/>
      <c r="S226" s="13" t="s">
        <v>2500</v>
      </c>
      <c r="T226" s="13"/>
      <c r="U226" s="13" t="s">
        <v>2500</v>
      </c>
    </row>
    <row r="227" spans="1:21" ht="15.75" customHeight="1" x14ac:dyDescent="0.2">
      <c r="A227" s="26" t="s">
        <v>1844</v>
      </c>
      <c r="B227" s="13"/>
      <c r="C227" s="13">
        <v>1</v>
      </c>
      <c r="D227" s="13"/>
      <c r="E227" s="13"/>
      <c r="F227" s="13"/>
      <c r="G227" s="13"/>
      <c r="H227" s="13"/>
      <c r="I227" s="13"/>
      <c r="J227" s="13"/>
      <c r="K227" s="13"/>
      <c r="L227" s="13"/>
      <c r="M227" s="13"/>
      <c r="N227" s="13"/>
      <c r="O227" s="13"/>
      <c r="P227" s="13"/>
      <c r="Q227" s="13"/>
      <c r="R227" s="13"/>
      <c r="S227" s="13" t="s">
        <v>2520</v>
      </c>
      <c r="T227" s="13"/>
      <c r="U227" s="13" t="s">
        <v>2520</v>
      </c>
    </row>
    <row r="228" spans="1:21" ht="15.75" customHeight="1" x14ac:dyDescent="0.2">
      <c r="A228" s="26" t="s">
        <v>1043</v>
      </c>
      <c r="B228" s="13" t="s">
        <v>1044</v>
      </c>
      <c r="C228" s="13">
        <v>2</v>
      </c>
      <c r="D228" s="13"/>
      <c r="E228" s="13" t="s">
        <v>2521</v>
      </c>
      <c r="F228" s="13"/>
      <c r="G228" s="13" t="s">
        <v>2326</v>
      </c>
      <c r="H228" s="20"/>
      <c r="I228" s="13" t="s">
        <v>2522</v>
      </c>
      <c r="J228" s="13"/>
      <c r="K228" s="13" t="s">
        <v>2523</v>
      </c>
      <c r="L228" s="13"/>
      <c r="M228" s="13" t="s">
        <v>2523</v>
      </c>
      <c r="N228" s="13"/>
      <c r="O228" s="20" t="s">
        <v>2524</v>
      </c>
      <c r="P228" s="13"/>
      <c r="Q228" s="20" t="s">
        <v>2524</v>
      </c>
      <c r="R228" s="20"/>
      <c r="S228" s="13" t="s">
        <v>2525</v>
      </c>
      <c r="T228" s="20"/>
      <c r="U228" s="13" t="s">
        <v>2525</v>
      </c>
    </row>
    <row r="229" spans="1:21" ht="15.75" customHeight="1" x14ac:dyDescent="0.2">
      <c r="A229" s="26" t="s">
        <v>1053</v>
      </c>
      <c r="B229" s="13" t="s">
        <v>2526</v>
      </c>
      <c r="C229" s="13">
        <v>5</v>
      </c>
      <c r="D229" s="13"/>
      <c r="E229" s="13" t="s">
        <v>2521</v>
      </c>
      <c r="F229" s="13"/>
      <c r="G229" s="13" t="s">
        <v>2326</v>
      </c>
      <c r="H229" s="20"/>
      <c r="I229" s="13" t="s">
        <v>2527</v>
      </c>
      <c r="J229" s="13"/>
      <c r="K229" s="13" t="s">
        <v>2398</v>
      </c>
      <c r="L229" s="13"/>
      <c r="M229" s="13" t="s">
        <v>2398</v>
      </c>
      <c r="N229" s="13"/>
      <c r="O229" s="20" t="s">
        <v>2524</v>
      </c>
      <c r="P229" s="13"/>
      <c r="Q229" s="20" t="s">
        <v>2524</v>
      </c>
      <c r="R229" s="20"/>
      <c r="S229" s="13" t="s">
        <v>2525</v>
      </c>
      <c r="T229" s="20"/>
      <c r="U229" s="13" t="s">
        <v>2525</v>
      </c>
    </row>
    <row r="230" spans="1:21" ht="15.75" customHeight="1" x14ac:dyDescent="0.2">
      <c r="A230" s="26" t="s">
        <v>1011</v>
      </c>
      <c r="B230" s="13" t="s">
        <v>1012</v>
      </c>
      <c r="C230" s="13">
        <v>5</v>
      </c>
      <c r="D230" s="13"/>
      <c r="E230" s="13" t="s">
        <v>2078</v>
      </c>
      <c r="F230" s="13"/>
      <c r="G230" s="13" t="s">
        <v>2454</v>
      </c>
      <c r="H230" s="20"/>
      <c r="I230" s="13" t="s">
        <v>2454</v>
      </c>
      <c r="J230" s="13"/>
      <c r="K230" s="13" t="s">
        <v>2398</v>
      </c>
      <c r="L230" s="13"/>
      <c r="M230" s="13" t="s">
        <v>2398</v>
      </c>
      <c r="N230" s="13"/>
      <c r="O230" s="13" t="s">
        <v>2399</v>
      </c>
      <c r="P230" s="13"/>
      <c r="Q230" s="13" t="s">
        <v>2399</v>
      </c>
      <c r="R230" s="13"/>
      <c r="S230" s="13" t="s">
        <v>2525</v>
      </c>
      <c r="T230" s="13"/>
      <c r="U230" s="13" t="s">
        <v>2525</v>
      </c>
    </row>
    <row r="231" spans="1:21" ht="15.75" customHeight="1" x14ac:dyDescent="0.2">
      <c r="A231" s="26" t="s">
        <v>1038</v>
      </c>
      <c r="B231" s="13" t="s">
        <v>1039</v>
      </c>
      <c r="C231" s="13">
        <v>3</v>
      </c>
      <c r="D231" s="13"/>
      <c r="E231" s="13" t="s">
        <v>2521</v>
      </c>
      <c r="F231" s="13"/>
      <c r="G231" s="13" t="s">
        <v>2528</v>
      </c>
      <c r="H231" s="20"/>
      <c r="I231" s="13" t="s">
        <v>2528</v>
      </c>
      <c r="J231" s="13"/>
      <c r="K231" s="13" t="s">
        <v>2529</v>
      </c>
      <c r="L231" s="13"/>
      <c r="M231" s="13" t="s">
        <v>2529</v>
      </c>
      <c r="N231" s="13"/>
      <c r="O231" s="13" t="s">
        <v>2399</v>
      </c>
      <c r="P231" s="13"/>
      <c r="Q231" s="13" t="s">
        <v>2399</v>
      </c>
      <c r="R231" s="13"/>
      <c r="S231" s="13" t="s">
        <v>2525</v>
      </c>
      <c r="T231" s="13"/>
      <c r="U231" s="13" t="s">
        <v>2525</v>
      </c>
    </row>
    <row r="232" spans="1:21" ht="15.75" customHeight="1" x14ac:dyDescent="0.2">
      <c r="A232" s="26" t="s">
        <v>1060</v>
      </c>
      <c r="B232" s="13" t="s">
        <v>1061</v>
      </c>
      <c r="C232" s="13">
        <v>5</v>
      </c>
      <c r="D232" s="13"/>
      <c r="E232" s="13" t="s">
        <v>2530</v>
      </c>
      <c r="F232" s="13"/>
      <c r="G232" s="13" t="s">
        <v>2528</v>
      </c>
      <c r="H232" s="20"/>
      <c r="I232" s="13" t="s">
        <v>2528</v>
      </c>
      <c r="J232" s="13"/>
      <c r="K232" s="13" t="s">
        <v>2393</v>
      </c>
      <c r="L232" s="13"/>
      <c r="M232" s="13" t="s">
        <v>2393</v>
      </c>
      <c r="N232" s="13"/>
      <c r="O232" s="13" t="s">
        <v>2531</v>
      </c>
      <c r="P232" s="13"/>
      <c r="Q232" s="13" t="s">
        <v>2531</v>
      </c>
      <c r="R232" s="13"/>
      <c r="S232" s="13" t="s">
        <v>2525</v>
      </c>
      <c r="T232" s="13"/>
      <c r="U232" s="13" t="s">
        <v>2525</v>
      </c>
    </row>
    <row r="233" spans="1:21" ht="15.75" customHeight="1" x14ac:dyDescent="0.2">
      <c r="A233" s="26" t="s">
        <v>808</v>
      </c>
      <c r="B233" s="13" t="s">
        <v>809</v>
      </c>
      <c r="C233" s="13">
        <v>4</v>
      </c>
      <c r="D233" s="13"/>
      <c r="E233" s="13" t="s">
        <v>2391</v>
      </c>
      <c r="F233" s="13"/>
      <c r="G233" s="13" t="s">
        <v>2454</v>
      </c>
      <c r="H233" s="20"/>
      <c r="I233" s="13" t="s">
        <v>2454</v>
      </c>
      <c r="J233" s="13"/>
      <c r="K233" s="13" t="s">
        <v>2316</v>
      </c>
      <c r="L233" s="13"/>
      <c r="M233" s="13" t="s">
        <v>2316</v>
      </c>
      <c r="N233" s="13"/>
      <c r="O233" s="13" t="s">
        <v>2531</v>
      </c>
      <c r="P233" s="13"/>
      <c r="Q233" s="13" t="s">
        <v>2531</v>
      </c>
      <c r="R233" s="13"/>
      <c r="S233" s="13" t="s">
        <v>2532</v>
      </c>
      <c r="T233" s="13"/>
      <c r="U233" s="13" t="s">
        <v>2532</v>
      </c>
    </row>
    <row r="234" spans="1:21" ht="15.75" customHeight="1" x14ac:dyDescent="0.2">
      <c r="A234" s="26" t="s">
        <v>1028</v>
      </c>
      <c r="B234" s="13" t="s">
        <v>1029</v>
      </c>
      <c r="C234" s="13">
        <v>6</v>
      </c>
      <c r="D234" s="13"/>
      <c r="E234" s="13"/>
      <c r="F234" s="13"/>
      <c r="G234" s="13" t="s">
        <v>1986</v>
      </c>
      <c r="H234" s="20"/>
      <c r="I234" s="13" t="s">
        <v>1987</v>
      </c>
      <c r="J234" s="13"/>
      <c r="K234" s="13" t="s">
        <v>2398</v>
      </c>
      <c r="L234" s="13"/>
      <c r="M234" s="13" t="s">
        <v>2398</v>
      </c>
      <c r="N234" s="13"/>
      <c r="O234" s="13" t="s">
        <v>2412</v>
      </c>
      <c r="P234" s="13"/>
      <c r="Q234" s="13" t="s">
        <v>2412</v>
      </c>
      <c r="R234" s="13"/>
      <c r="S234" s="13" t="s">
        <v>2533</v>
      </c>
      <c r="T234" s="13"/>
      <c r="U234" s="13" t="s">
        <v>2533</v>
      </c>
    </row>
    <row r="235" spans="1:21" ht="15.75" customHeight="1" x14ac:dyDescent="0.2">
      <c r="A235" s="26" t="s">
        <v>1056</v>
      </c>
      <c r="B235" s="13" t="s">
        <v>1057</v>
      </c>
      <c r="C235" s="13">
        <v>5</v>
      </c>
      <c r="D235" s="13"/>
      <c r="E235" s="13" t="s">
        <v>2078</v>
      </c>
      <c r="F235" s="13"/>
      <c r="G235" s="13" t="s">
        <v>2454</v>
      </c>
      <c r="H235" s="20"/>
      <c r="I235" s="13" t="s">
        <v>2454</v>
      </c>
      <c r="J235" s="13"/>
      <c r="K235" s="13" t="s">
        <v>2316</v>
      </c>
      <c r="L235" s="13"/>
      <c r="M235" s="13" t="s">
        <v>2316</v>
      </c>
      <c r="N235" s="13"/>
      <c r="O235" s="13" t="s">
        <v>2496</v>
      </c>
      <c r="P235" s="13"/>
      <c r="Q235" s="13" t="s">
        <v>2412</v>
      </c>
      <c r="R235" s="13"/>
      <c r="S235" s="13" t="s">
        <v>2500</v>
      </c>
      <c r="T235" s="13"/>
      <c r="U235" s="13" t="s">
        <v>2500</v>
      </c>
    </row>
    <row r="236" spans="1:21" ht="15.75" customHeight="1" x14ac:dyDescent="0.2">
      <c r="A236" s="26" t="s">
        <v>1032</v>
      </c>
      <c r="B236" s="13" t="s">
        <v>1033</v>
      </c>
      <c r="C236" s="13">
        <v>6</v>
      </c>
      <c r="D236" s="13"/>
      <c r="E236" s="13" t="s">
        <v>2078</v>
      </c>
      <c r="F236" s="13"/>
      <c r="G236" s="13" t="s">
        <v>2454</v>
      </c>
      <c r="H236" s="20"/>
      <c r="I236" s="13" t="s">
        <v>2454</v>
      </c>
      <c r="J236" s="13"/>
      <c r="K236" s="13" t="s">
        <v>2316</v>
      </c>
      <c r="L236" s="13"/>
      <c r="M236" s="13" t="s">
        <v>2316</v>
      </c>
      <c r="N236" s="13"/>
      <c r="O236" s="13" t="s">
        <v>2496</v>
      </c>
      <c r="P236" s="13"/>
      <c r="Q236" s="13" t="s">
        <v>2412</v>
      </c>
      <c r="R236" s="13"/>
      <c r="S236" s="13" t="s">
        <v>2500</v>
      </c>
      <c r="T236" s="13"/>
      <c r="U236" s="13" t="s">
        <v>2500</v>
      </c>
    </row>
    <row r="237" spans="1:21" ht="15.75" customHeight="1" x14ac:dyDescent="0.2">
      <c r="A237" s="26" t="s">
        <v>2534</v>
      </c>
      <c r="B237" s="13" t="s">
        <v>1482</v>
      </c>
      <c r="C237" s="13">
        <v>7</v>
      </c>
      <c r="D237" s="13"/>
      <c r="E237" s="13" t="s">
        <v>2530</v>
      </c>
      <c r="F237" s="13"/>
      <c r="G237" s="13" t="s">
        <v>2535</v>
      </c>
      <c r="H237" s="20"/>
      <c r="I237" s="13" t="s">
        <v>2535</v>
      </c>
      <c r="J237" s="13"/>
      <c r="K237" s="13" t="s">
        <v>2536</v>
      </c>
      <c r="L237" s="13"/>
      <c r="M237" s="13" t="s">
        <v>2536</v>
      </c>
      <c r="N237" s="13"/>
      <c r="O237" s="13" t="s">
        <v>2537</v>
      </c>
      <c r="P237" s="13"/>
      <c r="Q237" s="13" t="s">
        <v>2538</v>
      </c>
      <c r="R237" s="13"/>
      <c r="S237" s="13" t="s">
        <v>2532</v>
      </c>
      <c r="T237" s="13"/>
      <c r="U237" s="13" t="s">
        <v>2532</v>
      </c>
    </row>
    <row r="238" spans="1:21" ht="15.75" customHeight="1" x14ac:dyDescent="0.2">
      <c r="A238" s="26" t="s">
        <v>1076</v>
      </c>
      <c r="B238" s="13" t="s">
        <v>1077</v>
      </c>
      <c r="C238" s="13">
        <v>7</v>
      </c>
      <c r="D238" s="13"/>
      <c r="E238" s="13"/>
      <c r="F238" s="13"/>
      <c r="G238" s="13"/>
      <c r="H238" s="13"/>
      <c r="I238" s="13"/>
      <c r="J238" s="13" t="s">
        <v>2183</v>
      </c>
      <c r="K238" s="13" t="s">
        <v>2536</v>
      </c>
      <c r="L238" s="13"/>
      <c r="M238" s="13" t="s">
        <v>2536</v>
      </c>
      <c r="N238" s="13"/>
      <c r="O238" s="13" t="s">
        <v>2531</v>
      </c>
      <c r="P238" s="13"/>
      <c r="Q238" s="13" t="s">
        <v>2531</v>
      </c>
      <c r="R238" s="13"/>
      <c r="S238" s="13" t="s">
        <v>2539</v>
      </c>
      <c r="T238" s="13"/>
      <c r="U238" s="13" t="s">
        <v>2539</v>
      </c>
    </row>
    <row r="239" spans="1:21" ht="15.75" customHeight="1" x14ac:dyDescent="0.2">
      <c r="A239" s="26" t="s">
        <v>1051</v>
      </c>
      <c r="B239" s="13" t="s">
        <v>1052</v>
      </c>
      <c r="C239" s="13">
        <v>3</v>
      </c>
      <c r="D239" s="13"/>
      <c r="E239" s="13"/>
      <c r="F239" s="13"/>
      <c r="G239" s="13"/>
      <c r="H239" s="13"/>
      <c r="I239" s="13" t="s">
        <v>2540</v>
      </c>
      <c r="J239" s="13"/>
      <c r="K239" s="13" t="s">
        <v>2541</v>
      </c>
      <c r="L239" s="13"/>
      <c r="M239" s="13" t="s">
        <v>2393</v>
      </c>
      <c r="N239" s="13"/>
      <c r="O239" s="13" t="s">
        <v>2531</v>
      </c>
      <c r="P239" s="13"/>
      <c r="Q239" s="13" t="s">
        <v>2531</v>
      </c>
      <c r="R239" s="13"/>
      <c r="S239" s="13" t="s">
        <v>2542</v>
      </c>
      <c r="T239" s="13"/>
      <c r="U239" s="13" t="s">
        <v>2542</v>
      </c>
    </row>
    <row r="240" spans="1:21" ht="15.75" customHeight="1" x14ac:dyDescent="0.2">
      <c r="A240" s="26" t="s">
        <v>1048</v>
      </c>
      <c r="B240" s="13" t="s">
        <v>1049</v>
      </c>
      <c r="C240" s="13">
        <v>5</v>
      </c>
      <c r="D240" s="13"/>
      <c r="E240" s="13" t="s">
        <v>2391</v>
      </c>
      <c r="F240" s="13"/>
      <c r="G240" s="13" t="s">
        <v>2392</v>
      </c>
      <c r="H240" s="20"/>
      <c r="I240" s="13" t="s">
        <v>2392</v>
      </c>
      <c r="J240" s="13"/>
      <c r="K240" s="13" t="s">
        <v>2529</v>
      </c>
      <c r="L240" s="13"/>
      <c r="M240" s="13" t="s">
        <v>2529</v>
      </c>
      <c r="N240" s="13"/>
      <c r="O240" s="13" t="s">
        <v>2531</v>
      </c>
      <c r="P240" s="13"/>
      <c r="Q240" s="13" t="s">
        <v>2531</v>
      </c>
      <c r="R240" s="13"/>
      <c r="S240" s="13" t="s">
        <v>2542</v>
      </c>
      <c r="T240" s="13"/>
      <c r="U240" s="13" t="s">
        <v>2542</v>
      </c>
    </row>
    <row r="241" spans="1:21" ht="15.75" customHeight="1" x14ac:dyDescent="0.2">
      <c r="A241" s="26" t="s">
        <v>1491</v>
      </c>
      <c r="B241" s="13" t="s">
        <v>1492</v>
      </c>
      <c r="C241" s="13">
        <v>5</v>
      </c>
      <c r="D241" s="13"/>
      <c r="E241" s="13" t="s">
        <v>2078</v>
      </c>
      <c r="F241" s="13"/>
      <c r="G241" s="13" t="s">
        <v>2454</v>
      </c>
      <c r="H241" s="20"/>
      <c r="I241" s="13" t="s">
        <v>2543</v>
      </c>
      <c r="J241" s="13"/>
      <c r="K241" s="13" t="s">
        <v>2543</v>
      </c>
      <c r="L241" s="13"/>
      <c r="M241" s="13" t="s">
        <v>2544</v>
      </c>
      <c r="N241" s="13"/>
      <c r="O241" s="13" t="s">
        <v>2545</v>
      </c>
      <c r="P241" s="13"/>
      <c r="Q241" s="13" t="s">
        <v>2546</v>
      </c>
      <c r="R241" s="13"/>
      <c r="S241" s="13" t="s">
        <v>2547</v>
      </c>
      <c r="T241" s="13"/>
      <c r="U241" s="13" t="s">
        <v>2548</v>
      </c>
    </row>
    <row r="242" spans="1:21" ht="15.75" customHeight="1" x14ac:dyDescent="0.2">
      <c r="A242" s="26" t="s">
        <v>130</v>
      </c>
      <c r="B242" s="13" t="s">
        <v>1217</v>
      </c>
      <c r="C242" s="13">
        <v>1</v>
      </c>
      <c r="D242" s="13"/>
      <c r="E242" s="13" t="s">
        <v>2078</v>
      </c>
      <c r="F242" s="13"/>
      <c r="G242" s="13" t="s">
        <v>2454</v>
      </c>
      <c r="H242" s="20"/>
      <c r="I242" s="20" t="s">
        <v>2549</v>
      </c>
      <c r="J242" s="13"/>
      <c r="K242" s="13" t="s">
        <v>2550</v>
      </c>
      <c r="L242" s="20"/>
      <c r="M242" s="13" t="s">
        <v>2551</v>
      </c>
      <c r="N242" s="13"/>
      <c r="O242" s="13" t="s">
        <v>2552</v>
      </c>
      <c r="P242" s="13"/>
      <c r="Q242" s="13" t="s">
        <v>2553</v>
      </c>
      <c r="R242" s="13"/>
      <c r="S242" s="13" t="s">
        <v>2547</v>
      </c>
      <c r="T242" s="13"/>
      <c r="U242" s="13" t="s">
        <v>2548</v>
      </c>
    </row>
    <row r="243" spans="1:21" ht="15.75" customHeight="1" x14ac:dyDescent="0.2">
      <c r="A243" s="26" t="s">
        <v>1501</v>
      </c>
      <c r="B243" s="13" t="s">
        <v>1502</v>
      </c>
      <c r="C243" s="13">
        <v>3</v>
      </c>
      <c r="D243" s="13"/>
      <c r="E243" s="13" t="s">
        <v>2554</v>
      </c>
      <c r="F243" s="13"/>
      <c r="G243" s="13" t="s">
        <v>2555</v>
      </c>
      <c r="H243" s="20"/>
      <c r="I243" s="13" t="s">
        <v>2556</v>
      </c>
      <c r="J243" s="13"/>
      <c r="K243" s="13" t="s">
        <v>2550</v>
      </c>
      <c r="L243" s="13"/>
      <c r="M243" s="13" t="s">
        <v>2551</v>
      </c>
      <c r="N243" s="13"/>
      <c r="O243" s="13" t="s">
        <v>2552</v>
      </c>
      <c r="P243" s="13"/>
      <c r="Q243" s="13" t="s">
        <v>2557</v>
      </c>
      <c r="R243" s="13"/>
      <c r="S243" s="13" t="s">
        <v>2558</v>
      </c>
      <c r="T243" s="13"/>
      <c r="U243" s="13" t="s">
        <v>2559</v>
      </c>
    </row>
    <row r="244" spans="1:21" ht="15.75" customHeight="1" x14ac:dyDescent="0.2">
      <c r="A244" s="26" t="s">
        <v>901</v>
      </c>
      <c r="B244" s="13">
        <v>56835</v>
      </c>
      <c r="C244" s="13">
        <v>3</v>
      </c>
      <c r="D244" s="13"/>
      <c r="E244" s="13" t="s">
        <v>2560</v>
      </c>
      <c r="F244" s="13"/>
      <c r="G244" s="13" t="s">
        <v>2561</v>
      </c>
      <c r="H244" s="20"/>
      <c r="I244" s="20" t="s">
        <v>2562</v>
      </c>
      <c r="J244" s="13"/>
      <c r="K244" s="20" t="s">
        <v>2562</v>
      </c>
      <c r="L244" s="20"/>
      <c r="M244" s="20" t="s">
        <v>2563</v>
      </c>
      <c r="N244" s="13"/>
      <c r="O244" s="13" t="s">
        <v>2564</v>
      </c>
      <c r="P244" s="13"/>
      <c r="Q244" s="23" t="s">
        <v>2565</v>
      </c>
      <c r="R244" s="13"/>
      <c r="S244" s="13" t="s">
        <v>2566</v>
      </c>
      <c r="T244" s="13"/>
      <c r="U244" s="13" t="s">
        <v>2559</v>
      </c>
    </row>
    <row r="245" spans="1:21" ht="15.75" customHeight="1" x14ac:dyDescent="0.2">
      <c r="A245" s="26" t="s">
        <v>79</v>
      </c>
      <c r="B245" s="13" t="s">
        <v>1900</v>
      </c>
      <c r="C245" s="13">
        <v>2</v>
      </c>
      <c r="D245" s="13"/>
      <c r="E245" s="13" t="s">
        <v>2567</v>
      </c>
      <c r="F245" s="13"/>
      <c r="G245" s="13" t="s">
        <v>2568</v>
      </c>
      <c r="H245" s="20"/>
      <c r="I245" s="13" t="s">
        <v>2569</v>
      </c>
      <c r="J245" s="13"/>
      <c r="K245" s="13" t="s">
        <v>2570</v>
      </c>
      <c r="L245" s="13"/>
      <c r="M245" s="13" t="s">
        <v>2551</v>
      </c>
      <c r="N245" s="13"/>
      <c r="O245" s="13" t="s">
        <v>2552</v>
      </c>
      <c r="P245" s="13"/>
      <c r="Q245" s="13" t="s">
        <v>2571</v>
      </c>
      <c r="R245" s="13"/>
      <c r="S245" s="13" t="s">
        <v>2572</v>
      </c>
      <c r="T245" s="13"/>
      <c r="U245" s="13" t="s">
        <v>2559</v>
      </c>
    </row>
    <row r="246" spans="1:21" ht="15.75" customHeight="1" x14ac:dyDescent="0.2">
      <c r="A246" s="26" t="s">
        <v>1494</v>
      </c>
      <c r="B246" s="13" t="s">
        <v>1495</v>
      </c>
      <c r="C246" s="13">
        <v>1</v>
      </c>
      <c r="D246" s="13"/>
      <c r="E246" s="13" t="s">
        <v>2078</v>
      </c>
      <c r="F246" s="13"/>
      <c r="G246" s="13" t="s">
        <v>2454</v>
      </c>
      <c r="H246" s="20"/>
      <c r="I246" s="13" t="s">
        <v>2543</v>
      </c>
      <c r="J246" s="13"/>
      <c r="K246" s="13" t="s">
        <v>2543</v>
      </c>
      <c r="L246" s="13"/>
      <c r="M246" s="13" t="s">
        <v>2316</v>
      </c>
      <c r="N246" s="13"/>
      <c r="O246" s="13" t="s">
        <v>2496</v>
      </c>
      <c r="P246" s="13"/>
      <c r="Q246" s="13" t="s">
        <v>2413</v>
      </c>
      <c r="R246" s="13"/>
      <c r="S246" s="13" t="s">
        <v>2413</v>
      </c>
      <c r="T246" s="13"/>
      <c r="U246" s="13" t="s">
        <v>2573</v>
      </c>
    </row>
    <row r="247" spans="1:21" ht="15.75" customHeight="1" x14ac:dyDescent="0.2">
      <c r="A247" s="26" t="s">
        <v>1923</v>
      </c>
      <c r="B247" s="13" t="s">
        <v>1902</v>
      </c>
      <c r="C247" s="13">
        <v>4</v>
      </c>
      <c r="D247" s="13"/>
      <c r="E247" s="13"/>
      <c r="F247" s="13"/>
      <c r="G247" s="13" t="s">
        <v>2574</v>
      </c>
      <c r="H247" s="20"/>
      <c r="I247" s="20" t="s">
        <v>2575</v>
      </c>
      <c r="J247" s="13"/>
      <c r="K247" s="13" t="s">
        <v>2576</v>
      </c>
      <c r="L247" s="13" t="s">
        <v>2577</v>
      </c>
      <c r="M247" s="13"/>
      <c r="N247" s="13" t="s">
        <v>1945</v>
      </c>
      <c r="O247" s="13"/>
      <c r="P247" s="13" t="s">
        <v>1945</v>
      </c>
      <c r="Q247" s="13"/>
      <c r="R247" s="13" t="s">
        <v>1946</v>
      </c>
      <c r="S247" s="13"/>
      <c r="T247" s="13" t="s">
        <v>1946</v>
      </c>
      <c r="U247" s="13" t="s">
        <v>2578</v>
      </c>
    </row>
    <row r="248" spans="1:21" ht="15.75" customHeight="1" x14ac:dyDescent="0.2">
      <c r="A248" s="26" t="s">
        <v>1013</v>
      </c>
      <c r="B248" s="13" t="s">
        <v>1014</v>
      </c>
      <c r="C248" s="13">
        <v>3</v>
      </c>
      <c r="D248" s="13"/>
      <c r="E248" s="13" t="s">
        <v>2579</v>
      </c>
      <c r="F248" s="13"/>
      <c r="G248" s="13" t="s">
        <v>2580</v>
      </c>
      <c r="H248" s="20"/>
      <c r="I248" s="13" t="s">
        <v>2581</v>
      </c>
      <c r="J248" s="13"/>
      <c r="K248" s="13" t="s">
        <v>2582</v>
      </c>
      <c r="L248" s="13"/>
      <c r="M248" s="20"/>
      <c r="N248" s="13"/>
      <c r="O248" s="13" t="s">
        <v>2583</v>
      </c>
      <c r="P248" s="13"/>
      <c r="Q248" s="13" t="s">
        <v>2584</v>
      </c>
      <c r="R248" s="13"/>
      <c r="S248" s="13" t="s">
        <v>2585</v>
      </c>
      <c r="T248" s="13"/>
      <c r="U248" s="13" t="s">
        <v>2586</v>
      </c>
    </row>
    <row r="249" spans="1:21" ht="15.75" customHeight="1" x14ac:dyDescent="0.2">
      <c r="A249" s="26" t="s">
        <v>1004</v>
      </c>
      <c r="B249" s="13" t="s">
        <v>1005</v>
      </c>
      <c r="C249" s="13">
        <v>7</v>
      </c>
      <c r="D249" s="13"/>
      <c r="E249" s="13" t="s">
        <v>2587</v>
      </c>
      <c r="F249" s="13"/>
      <c r="G249" s="13" t="s">
        <v>2587</v>
      </c>
      <c r="H249" s="20"/>
      <c r="I249" s="13" t="s">
        <v>2588</v>
      </c>
      <c r="J249" s="13"/>
      <c r="K249" s="13" t="s">
        <v>2589</v>
      </c>
      <c r="L249" s="13"/>
      <c r="M249" s="20" t="s">
        <v>2590</v>
      </c>
      <c r="N249" s="13"/>
      <c r="O249" s="20" t="s">
        <v>2590</v>
      </c>
      <c r="P249" s="13"/>
      <c r="Q249" s="13" t="s">
        <v>2312</v>
      </c>
      <c r="R249" s="13"/>
      <c r="S249" s="13" t="s">
        <v>2312</v>
      </c>
      <c r="T249" s="13"/>
      <c r="U249" s="13" t="s">
        <v>2591</v>
      </c>
    </row>
    <row r="250" spans="1:21" ht="15.75" customHeight="1" x14ac:dyDescent="0.2">
      <c r="A250" s="26" t="s">
        <v>898</v>
      </c>
      <c r="B250" s="13" t="s">
        <v>899</v>
      </c>
      <c r="C250" s="13">
        <v>2</v>
      </c>
      <c r="D250" s="13"/>
      <c r="E250" s="13" t="s">
        <v>2592</v>
      </c>
      <c r="F250" s="13"/>
      <c r="G250" s="13" t="s">
        <v>2593</v>
      </c>
      <c r="H250" s="20"/>
      <c r="I250" s="13" t="s">
        <v>2594</v>
      </c>
      <c r="J250" s="13"/>
      <c r="K250" s="13" t="s">
        <v>2594</v>
      </c>
      <c r="L250" s="13"/>
      <c r="M250" s="20" t="s">
        <v>2595</v>
      </c>
      <c r="N250" s="13"/>
      <c r="O250" s="13" t="s">
        <v>2545</v>
      </c>
      <c r="P250" s="13"/>
      <c r="Q250" s="13" t="s">
        <v>2546</v>
      </c>
      <c r="R250" s="13"/>
      <c r="S250" s="13" t="s">
        <v>2596</v>
      </c>
      <c r="T250" s="13"/>
      <c r="U250" s="13" t="s">
        <v>2389</v>
      </c>
    </row>
    <row r="251" spans="1:21" ht="15.75" customHeight="1" x14ac:dyDescent="0.2">
      <c r="A251" s="28" t="s">
        <v>1213</v>
      </c>
      <c r="B251" s="13" t="s">
        <v>1214</v>
      </c>
      <c r="C251" s="13">
        <v>8</v>
      </c>
      <c r="D251" s="13"/>
      <c r="E251" s="13" t="s">
        <v>2597</v>
      </c>
      <c r="F251" s="13"/>
      <c r="G251" s="13" t="s">
        <v>2555</v>
      </c>
      <c r="H251" s="20"/>
      <c r="I251" s="13" t="s">
        <v>2598</v>
      </c>
      <c r="J251" s="13"/>
      <c r="K251" s="13" t="s">
        <v>2599</v>
      </c>
      <c r="L251" s="13"/>
      <c r="M251" s="13" t="s">
        <v>2551</v>
      </c>
      <c r="N251" s="13"/>
      <c r="O251" s="13" t="s">
        <v>2552</v>
      </c>
      <c r="P251" s="13"/>
      <c r="Q251" s="13" t="s">
        <v>2600</v>
      </c>
      <c r="R251" s="13"/>
      <c r="S251" s="13" t="s">
        <v>2601</v>
      </c>
      <c r="T251" s="13"/>
      <c r="U251" s="13" t="s">
        <v>2559</v>
      </c>
    </row>
    <row r="252" spans="1:21" ht="15.75" customHeight="1" x14ac:dyDescent="0.2">
      <c r="A252" s="26" t="s">
        <v>987</v>
      </c>
      <c r="B252" s="13" t="s">
        <v>988</v>
      </c>
      <c r="C252" s="13">
        <v>1</v>
      </c>
      <c r="D252" s="13"/>
      <c r="E252" s="13" t="s">
        <v>2602</v>
      </c>
      <c r="F252" s="13"/>
      <c r="G252" s="13" t="s">
        <v>2593</v>
      </c>
      <c r="H252" s="20"/>
      <c r="I252" s="13" t="s">
        <v>2594</v>
      </c>
      <c r="J252" s="13"/>
      <c r="K252" s="13" t="s">
        <v>2594</v>
      </c>
      <c r="L252" s="13"/>
      <c r="M252" s="20" t="s">
        <v>2603</v>
      </c>
      <c r="N252" s="13"/>
      <c r="O252" s="20" t="s">
        <v>2603</v>
      </c>
      <c r="P252" s="13"/>
      <c r="Q252" s="13" t="s">
        <v>2604</v>
      </c>
      <c r="R252" s="13"/>
      <c r="S252" s="13" t="s">
        <v>2572</v>
      </c>
      <c r="T252" s="13"/>
      <c r="U252" s="13" t="s">
        <v>2605</v>
      </c>
    </row>
    <row r="253" spans="1:21" ht="15.75" customHeight="1" x14ac:dyDescent="0.2">
      <c r="A253" s="26" t="s">
        <v>1480</v>
      </c>
      <c r="B253" s="13" t="s">
        <v>2606</v>
      </c>
      <c r="C253" s="13">
        <v>4</v>
      </c>
      <c r="D253" s="13"/>
      <c r="E253" s="13" t="s">
        <v>2587</v>
      </c>
      <c r="F253" s="13"/>
      <c r="G253" s="13" t="s">
        <v>2454</v>
      </c>
      <c r="H253" s="20"/>
      <c r="I253" s="13" t="s">
        <v>2543</v>
      </c>
      <c r="J253" s="13"/>
      <c r="K253" s="13" t="s">
        <v>2543</v>
      </c>
      <c r="L253" s="13"/>
      <c r="M253" s="20" t="s">
        <v>2607</v>
      </c>
      <c r="N253" s="13"/>
      <c r="O253" s="20" t="s">
        <v>2607</v>
      </c>
      <c r="P253" s="13"/>
      <c r="Q253" s="13" t="s">
        <v>2608</v>
      </c>
      <c r="R253" s="13"/>
      <c r="S253" s="13" t="s">
        <v>2609</v>
      </c>
      <c r="T253" s="13"/>
      <c r="U253" s="13" t="s">
        <v>2610</v>
      </c>
    </row>
    <row r="254" spans="1:21" ht="15.75" customHeight="1" x14ac:dyDescent="0.2">
      <c r="A254" s="26" t="s">
        <v>982</v>
      </c>
      <c r="B254" s="13" t="s">
        <v>983</v>
      </c>
      <c r="C254" s="13">
        <v>4</v>
      </c>
      <c r="D254" s="13"/>
      <c r="E254" s="13"/>
      <c r="F254" s="13"/>
      <c r="G254" s="13" t="s">
        <v>2180</v>
      </c>
      <c r="H254" s="20"/>
      <c r="I254" s="13" t="s">
        <v>2611</v>
      </c>
      <c r="J254" s="13"/>
      <c r="K254" s="13" t="s">
        <v>2550</v>
      </c>
      <c r="L254" s="13"/>
      <c r="M254" s="13" t="s">
        <v>2551</v>
      </c>
      <c r="N254" s="13"/>
      <c r="O254" s="13" t="s">
        <v>2545</v>
      </c>
      <c r="P254" s="13"/>
      <c r="Q254" s="13" t="s">
        <v>2612</v>
      </c>
      <c r="R254" s="13"/>
      <c r="S254" s="13" t="s">
        <v>2612</v>
      </c>
      <c r="T254" s="13"/>
      <c r="U254" s="13" t="s">
        <v>2605</v>
      </c>
    </row>
    <row r="255" spans="1:21" ht="15.75" customHeight="1" x14ac:dyDescent="0.2">
      <c r="A255" s="26" t="s">
        <v>1167</v>
      </c>
      <c r="B255" s="13" t="s">
        <v>1168</v>
      </c>
      <c r="C255" s="13">
        <v>4</v>
      </c>
      <c r="D255" s="13"/>
      <c r="E255" s="13" t="s">
        <v>2613</v>
      </c>
      <c r="F255" s="13"/>
      <c r="G255" s="13" t="s">
        <v>2568</v>
      </c>
      <c r="H255" s="20"/>
      <c r="I255" s="13" t="s">
        <v>2543</v>
      </c>
      <c r="J255" s="13"/>
      <c r="K255" s="13" t="s">
        <v>2543</v>
      </c>
      <c r="L255" s="13"/>
      <c r="M255" s="13" t="s">
        <v>2614</v>
      </c>
      <c r="N255" s="13"/>
      <c r="O255" s="13" t="s">
        <v>2552</v>
      </c>
      <c r="P255" s="13"/>
      <c r="Q255" s="13" t="s">
        <v>2615</v>
      </c>
      <c r="R255" s="13"/>
      <c r="S255" s="13" t="s">
        <v>2615</v>
      </c>
      <c r="T255" s="13"/>
      <c r="U255" s="13" t="s">
        <v>2605</v>
      </c>
    </row>
    <row r="256" spans="1:21" ht="15.75" customHeight="1" x14ac:dyDescent="0.2">
      <c r="A256" s="26" t="s">
        <v>2616</v>
      </c>
      <c r="B256" s="13">
        <v>10341</v>
      </c>
      <c r="C256" s="13">
        <v>3</v>
      </c>
      <c r="D256" s="13"/>
      <c r="E256" s="13" t="s">
        <v>2617</v>
      </c>
      <c r="F256" s="13"/>
      <c r="G256" s="13" t="s">
        <v>2454</v>
      </c>
      <c r="H256" s="20"/>
      <c r="I256" s="13" t="s">
        <v>2543</v>
      </c>
      <c r="J256" s="13"/>
      <c r="K256" s="13" t="s">
        <v>2543</v>
      </c>
      <c r="L256" s="13"/>
      <c r="M256" s="20" t="s">
        <v>2607</v>
      </c>
      <c r="N256" s="13"/>
      <c r="O256" s="20" t="s">
        <v>2607</v>
      </c>
      <c r="P256" s="13"/>
      <c r="Q256" s="13" t="s">
        <v>2618</v>
      </c>
      <c r="R256" s="13"/>
      <c r="S256" s="13" t="s">
        <v>2618</v>
      </c>
      <c r="T256" s="13"/>
      <c r="U256" s="13" t="s">
        <v>2619</v>
      </c>
    </row>
    <row r="257" spans="1:21" ht="15.75" customHeight="1" x14ac:dyDescent="0.2">
      <c r="A257" s="26" t="s">
        <v>1895</v>
      </c>
      <c r="B257" s="13" t="s">
        <v>1896</v>
      </c>
      <c r="C257" s="13">
        <v>4</v>
      </c>
      <c r="D257" s="13"/>
      <c r="E257" s="13" t="s">
        <v>2078</v>
      </c>
      <c r="F257" s="13"/>
      <c r="G257" s="13" t="s">
        <v>2078</v>
      </c>
      <c r="H257" s="20"/>
      <c r="I257" s="13" t="s">
        <v>2543</v>
      </c>
      <c r="J257" s="13"/>
      <c r="K257" s="13" t="s">
        <v>2543</v>
      </c>
      <c r="L257" s="13"/>
      <c r="M257" s="20" t="s">
        <v>2607</v>
      </c>
      <c r="N257" s="13"/>
      <c r="O257" s="20" t="s">
        <v>2607</v>
      </c>
      <c r="P257" s="13"/>
      <c r="Q257" s="13" t="s">
        <v>2618</v>
      </c>
      <c r="R257" s="13"/>
      <c r="S257" s="13" t="s">
        <v>2618</v>
      </c>
      <c r="T257" s="13"/>
      <c r="U257" s="13" t="s">
        <v>2619</v>
      </c>
    </row>
    <row r="258" spans="1:21" ht="15.75" customHeight="1" x14ac:dyDescent="0.2">
      <c r="A258" s="26" t="s">
        <v>948</v>
      </c>
      <c r="B258" s="13" t="s">
        <v>949</v>
      </c>
      <c r="C258" s="13">
        <v>2</v>
      </c>
      <c r="D258" s="13"/>
      <c r="E258" s="13" t="s">
        <v>2078</v>
      </c>
      <c r="F258" s="13"/>
      <c r="G258" s="13" t="s">
        <v>2454</v>
      </c>
      <c r="H258" s="20"/>
      <c r="I258" s="13" t="s">
        <v>2543</v>
      </c>
      <c r="J258" s="13"/>
      <c r="K258" s="13" t="s">
        <v>2543</v>
      </c>
      <c r="L258" s="13"/>
      <c r="M258" s="13" t="s">
        <v>2316</v>
      </c>
      <c r="N258" s="13"/>
      <c r="O258" s="13" t="s">
        <v>2496</v>
      </c>
      <c r="P258" s="13"/>
      <c r="Q258" s="13" t="s">
        <v>2618</v>
      </c>
      <c r="R258" s="13"/>
      <c r="S258" s="13" t="s">
        <v>2618</v>
      </c>
      <c r="T258" s="13"/>
      <c r="U258" s="13" t="s">
        <v>2619</v>
      </c>
    </row>
    <row r="259" spans="1:21" ht="15.75" customHeight="1" x14ac:dyDescent="0.2">
      <c r="A259" s="26" t="s">
        <v>2620</v>
      </c>
      <c r="B259" s="13">
        <v>74636</v>
      </c>
      <c r="C259" s="29">
        <v>4</v>
      </c>
      <c r="D259" s="29"/>
      <c r="E259" s="29" t="s">
        <v>2561</v>
      </c>
      <c r="F259" s="29"/>
      <c r="G259" s="29" t="s">
        <v>2561</v>
      </c>
      <c r="H259" s="20" t="s">
        <v>2621</v>
      </c>
      <c r="I259" s="20" t="s">
        <v>2622</v>
      </c>
      <c r="J259" s="13"/>
      <c r="K259" s="20" t="s">
        <v>2562</v>
      </c>
      <c r="L259" s="20"/>
      <c r="M259" s="20" t="s">
        <v>2623</v>
      </c>
      <c r="N259" s="13"/>
      <c r="O259" s="20" t="s">
        <v>2624</v>
      </c>
      <c r="P259" s="13"/>
      <c r="Q259" s="13" t="s">
        <v>2625</v>
      </c>
      <c r="R259" s="13"/>
      <c r="S259" s="13" t="s">
        <v>2625</v>
      </c>
      <c r="T259" s="13"/>
      <c r="U259" s="13" t="s">
        <v>2619</v>
      </c>
    </row>
    <row r="260" spans="1:21" ht="15.75" customHeight="1" x14ac:dyDescent="0.2">
      <c r="A260" s="26" t="s">
        <v>1886</v>
      </c>
      <c r="B260" s="13" t="s">
        <v>1887</v>
      </c>
      <c r="C260" s="13">
        <v>1</v>
      </c>
      <c r="D260" s="13"/>
      <c r="E260" s="13" t="s">
        <v>2617</v>
      </c>
      <c r="F260" s="13"/>
      <c r="G260" s="13" t="s">
        <v>2626</v>
      </c>
      <c r="H260" s="20"/>
      <c r="I260" s="13" t="s">
        <v>2594</v>
      </c>
      <c r="J260" s="13"/>
      <c r="K260" s="13" t="s">
        <v>2594</v>
      </c>
      <c r="L260" s="13"/>
      <c r="M260" s="20" t="s">
        <v>2603</v>
      </c>
      <c r="N260" s="13"/>
      <c r="O260" s="20" t="s">
        <v>2603</v>
      </c>
      <c r="P260" s="13"/>
      <c r="Q260" s="13" t="s">
        <v>2625</v>
      </c>
      <c r="R260" s="13"/>
      <c r="S260" s="13" t="s">
        <v>2625</v>
      </c>
      <c r="T260" s="13"/>
      <c r="U260" s="13" t="s">
        <v>2619</v>
      </c>
    </row>
    <row r="261" spans="1:21" ht="15.75" customHeight="1" x14ac:dyDescent="0.2">
      <c r="A261" s="26" t="s">
        <v>1496</v>
      </c>
      <c r="B261" s="13" t="s">
        <v>2627</v>
      </c>
      <c r="C261" s="13">
        <v>8</v>
      </c>
      <c r="D261" s="13"/>
      <c r="E261" s="13"/>
      <c r="F261" s="13"/>
      <c r="G261" s="20"/>
      <c r="H261" s="13" t="s">
        <v>2061</v>
      </c>
      <c r="I261" s="13" t="s">
        <v>2628</v>
      </c>
      <c r="J261" s="13"/>
      <c r="K261" s="13" t="s">
        <v>2628</v>
      </c>
      <c r="L261" s="13"/>
      <c r="M261" s="13" t="s">
        <v>2316</v>
      </c>
      <c r="N261" s="13"/>
      <c r="O261" s="13" t="s">
        <v>2496</v>
      </c>
      <c r="P261" s="13"/>
      <c r="Q261" s="13" t="s">
        <v>2629</v>
      </c>
      <c r="R261" s="13"/>
      <c r="S261" s="13" t="s">
        <v>2629</v>
      </c>
      <c r="T261" s="13"/>
      <c r="U261" s="13" t="s">
        <v>2630</v>
      </c>
    </row>
    <row r="262" spans="1:21" ht="15.75" customHeight="1" x14ac:dyDescent="0.2">
      <c r="A262" s="26" t="s">
        <v>1483</v>
      </c>
      <c r="B262" s="13" t="s">
        <v>1484</v>
      </c>
      <c r="C262" s="13">
        <v>1</v>
      </c>
      <c r="D262" s="13"/>
      <c r="E262" s="13" t="s">
        <v>2631</v>
      </c>
      <c r="F262" s="13"/>
      <c r="G262" s="30" t="s">
        <v>2632</v>
      </c>
      <c r="H262" s="20"/>
      <c r="I262" s="20" t="s">
        <v>2562</v>
      </c>
      <c r="J262" s="13"/>
      <c r="K262" s="20" t="s">
        <v>2562</v>
      </c>
      <c r="L262" s="20"/>
      <c r="M262" s="20" t="s">
        <v>2624</v>
      </c>
      <c r="N262" s="13"/>
      <c r="O262" s="20" t="s">
        <v>2624</v>
      </c>
      <c r="P262" s="13"/>
      <c r="Q262" s="13" t="s">
        <v>2633</v>
      </c>
      <c r="R262" s="13"/>
      <c r="S262" s="13" t="s">
        <v>2633</v>
      </c>
      <c r="T262" s="13"/>
      <c r="U262" s="13" t="s">
        <v>2634</v>
      </c>
    </row>
    <row r="263" spans="1:21" ht="15.75" customHeight="1" x14ac:dyDescent="0.2">
      <c r="A263" s="26" t="s">
        <v>892</v>
      </c>
      <c r="B263" s="13" t="s">
        <v>893</v>
      </c>
      <c r="C263" s="13">
        <v>3</v>
      </c>
      <c r="D263" s="13"/>
      <c r="E263" s="13" t="s">
        <v>2635</v>
      </c>
      <c r="F263" s="13"/>
      <c r="G263" s="13" t="s">
        <v>2635</v>
      </c>
      <c r="H263" s="20"/>
      <c r="I263" s="20" t="s">
        <v>2562</v>
      </c>
      <c r="J263" s="13"/>
      <c r="K263" s="20" t="s">
        <v>2562</v>
      </c>
      <c r="L263" s="20"/>
      <c r="M263" s="20" t="s">
        <v>2624</v>
      </c>
      <c r="N263" s="13"/>
      <c r="O263" s="20" t="s">
        <v>2624</v>
      </c>
      <c r="P263" s="13"/>
      <c r="Q263" s="13" t="s">
        <v>2629</v>
      </c>
      <c r="R263" s="13"/>
      <c r="S263" s="13" t="s">
        <v>2629</v>
      </c>
      <c r="T263" s="13"/>
      <c r="U263" s="13" t="s">
        <v>2630</v>
      </c>
    </row>
    <row r="264" spans="1:21" ht="15.75" customHeight="1" x14ac:dyDescent="0.2">
      <c r="A264" s="26" t="s">
        <v>1472</v>
      </c>
      <c r="B264" s="13" t="s">
        <v>1473</v>
      </c>
      <c r="C264" s="13">
        <v>2</v>
      </c>
      <c r="D264" s="13"/>
      <c r="E264" s="13" t="s">
        <v>2635</v>
      </c>
      <c r="F264" s="13"/>
      <c r="G264" s="13" t="s">
        <v>2635</v>
      </c>
      <c r="H264" s="20"/>
      <c r="I264" s="20" t="s">
        <v>2562</v>
      </c>
      <c r="J264" s="13"/>
      <c r="K264" s="20" t="s">
        <v>2562</v>
      </c>
      <c r="L264" s="20"/>
      <c r="M264" s="20" t="s">
        <v>2624</v>
      </c>
      <c r="N264" s="13"/>
      <c r="O264" s="20" t="s">
        <v>2624</v>
      </c>
      <c r="P264" s="13"/>
      <c r="Q264" s="13" t="s">
        <v>2636</v>
      </c>
      <c r="R264" s="13"/>
      <c r="S264" s="13" t="s">
        <v>2636</v>
      </c>
      <c r="T264" s="13"/>
      <c r="U264" s="13" t="s">
        <v>2630</v>
      </c>
    </row>
    <row r="265" spans="1:21" ht="15.75" customHeight="1" x14ac:dyDescent="0.2">
      <c r="A265" s="26" t="s">
        <v>1107</v>
      </c>
      <c r="B265" s="13" t="s">
        <v>1108</v>
      </c>
      <c r="C265" s="13">
        <v>3</v>
      </c>
      <c r="D265" s="13"/>
      <c r="E265" s="13"/>
      <c r="F265" s="13"/>
      <c r="G265" s="13"/>
      <c r="H265" s="13" t="s">
        <v>2061</v>
      </c>
      <c r="I265" s="13" t="s">
        <v>2628</v>
      </c>
      <c r="J265" s="13"/>
      <c r="K265" s="13" t="s">
        <v>2628</v>
      </c>
      <c r="L265" s="13"/>
      <c r="M265" s="13" t="s">
        <v>2637</v>
      </c>
      <c r="N265" s="13"/>
      <c r="O265" s="13" t="s">
        <v>2412</v>
      </c>
      <c r="P265" s="13"/>
      <c r="Q265" s="13" t="s">
        <v>2413</v>
      </c>
      <c r="R265" s="13"/>
      <c r="S265" s="13" t="s">
        <v>2413</v>
      </c>
      <c r="T265" s="13"/>
      <c r="U265" s="13" t="s">
        <v>2638</v>
      </c>
    </row>
    <row r="266" spans="1:21" ht="15.75" customHeight="1" x14ac:dyDescent="0.2">
      <c r="A266" s="26" t="s">
        <v>1097</v>
      </c>
      <c r="B266" s="13" t="s">
        <v>2639</v>
      </c>
      <c r="C266" s="13">
        <v>2</v>
      </c>
      <c r="D266" s="13"/>
      <c r="E266" s="13" t="s">
        <v>2078</v>
      </c>
      <c r="F266" s="13"/>
      <c r="G266" s="13" t="s">
        <v>2078</v>
      </c>
      <c r="H266" s="20"/>
      <c r="I266" s="13" t="s">
        <v>2543</v>
      </c>
      <c r="J266" s="13"/>
      <c r="K266" s="13" t="s">
        <v>2543</v>
      </c>
      <c r="L266" s="13"/>
      <c r="M266" s="13" t="s">
        <v>2640</v>
      </c>
      <c r="N266" s="13"/>
      <c r="O266" s="13" t="s">
        <v>2641</v>
      </c>
      <c r="P266" s="13"/>
      <c r="Q266" s="13" t="s">
        <v>2413</v>
      </c>
      <c r="R266" s="13"/>
      <c r="S266" s="13" t="s">
        <v>2413</v>
      </c>
      <c r="T266" s="13"/>
      <c r="U266" s="13" t="s">
        <v>2642</v>
      </c>
    </row>
    <row r="267" spans="1:21" ht="15.75" customHeight="1" x14ac:dyDescent="0.2">
      <c r="A267" s="26" t="s">
        <v>126</v>
      </c>
      <c r="B267" s="13" t="s">
        <v>1493</v>
      </c>
      <c r="C267" s="13">
        <v>9</v>
      </c>
      <c r="D267" s="13"/>
      <c r="E267" s="13" t="s">
        <v>2078</v>
      </c>
      <c r="F267" s="13"/>
      <c r="G267" s="13" t="s">
        <v>2643</v>
      </c>
      <c r="H267" s="20"/>
      <c r="I267" s="13" t="s">
        <v>2543</v>
      </c>
      <c r="J267" s="13"/>
      <c r="K267" s="13" t="s">
        <v>2543</v>
      </c>
      <c r="L267" s="13"/>
      <c r="M267" s="13" t="s">
        <v>2316</v>
      </c>
      <c r="N267" s="13"/>
      <c r="O267" s="13" t="s">
        <v>2496</v>
      </c>
      <c r="P267" s="13"/>
      <c r="Q267" s="13" t="s">
        <v>2413</v>
      </c>
      <c r="R267" s="13"/>
      <c r="S267" s="13" t="s">
        <v>676</v>
      </c>
      <c r="T267" s="13"/>
      <c r="U267" s="13" t="s">
        <v>2644</v>
      </c>
    </row>
    <row r="268" spans="1:21" ht="15.75" customHeight="1" x14ac:dyDescent="0.2">
      <c r="A268" s="26" t="s">
        <v>964</v>
      </c>
      <c r="B268" s="13"/>
      <c r="C268" s="13">
        <v>3</v>
      </c>
      <c r="D268" s="13"/>
      <c r="E268" s="13"/>
      <c r="F268" s="13"/>
      <c r="G268" s="20"/>
      <c r="H268" s="20"/>
      <c r="I268" s="13"/>
      <c r="J268" s="13"/>
      <c r="K268" s="13"/>
      <c r="L268" s="13" t="s">
        <v>2427</v>
      </c>
      <c r="M268" s="13"/>
      <c r="N268" s="13" t="s">
        <v>2427</v>
      </c>
      <c r="O268" s="13"/>
      <c r="P268" s="13"/>
      <c r="Q268" s="13" t="s">
        <v>2279</v>
      </c>
      <c r="R268" s="13"/>
      <c r="S268" s="13" t="s">
        <v>2279</v>
      </c>
      <c r="T268" s="13"/>
      <c r="U268" s="13" t="s">
        <v>2414</v>
      </c>
    </row>
    <row r="269" spans="1:21" ht="15.75" customHeight="1" x14ac:dyDescent="0.2">
      <c r="A269" s="26" t="s">
        <v>1066</v>
      </c>
      <c r="B269" s="13" t="s">
        <v>2645</v>
      </c>
      <c r="C269" s="13">
        <v>6</v>
      </c>
      <c r="D269" s="13"/>
      <c r="E269" s="13" t="s">
        <v>2646</v>
      </c>
      <c r="F269" s="13"/>
      <c r="G269" s="13" t="s">
        <v>2647</v>
      </c>
      <c r="H269" s="20"/>
      <c r="I269" s="13" t="s">
        <v>2588</v>
      </c>
      <c r="J269" s="13"/>
      <c r="K269" s="13" t="s">
        <v>2589</v>
      </c>
      <c r="L269" s="13"/>
      <c r="M269" s="20" t="s">
        <v>2648</v>
      </c>
      <c r="N269" s="13"/>
      <c r="O269" s="13" t="s">
        <v>2649</v>
      </c>
      <c r="P269" s="13"/>
      <c r="Q269" s="13" t="s">
        <v>2650</v>
      </c>
      <c r="R269" s="13"/>
      <c r="S269" s="13" t="s">
        <v>2650</v>
      </c>
      <c r="T269" s="13"/>
      <c r="U269" s="13" t="s">
        <v>2651</v>
      </c>
    </row>
    <row r="270" spans="1:21" ht="15.75" customHeight="1" x14ac:dyDescent="0.2">
      <c r="A270" s="26" t="s">
        <v>2652</v>
      </c>
      <c r="B270" s="13" t="s">
        <v>1171</v>
      </c>
      <c r="C270" s="13">
        <v>8</v>
      </c>
      <c r="D270" s="13"/>
      <c r="E270" s="13" t="s">
        <v>2653</v>
      </c>
      <c r="F270" s="13"/>
      <c r="G270" s="13" t="s">
        <v>2654</v>
      </c>
      <c r="H270" s="20"/>
      <c r="I270" s="13" t="s">
        <v>2581</v>
      </c>
      <c r="J270" s="13"/>
      <c r="K270" s="13" t="s">
        <v>2582</v>
      </c>
      <c r="L270" s="13"/>
      <c r="M270" s="13"/>
      <c r="N270" s="13"/>
      <c r="O270" s="13" t="s">
        <v>2655</v>
      </c>
      <c r="P270" s="13"/>
      <c r="Q270" s="13" t="s">
        <v>2650</v>
      </c>
      <c r="R270" s="13"/>
      <c r="S270" s="13" t="s">
        <v>2650</v>
      </c>
      <c r="T270" s="13"/>
      <c r="U270" s="13" t="s">
        <v>2319</v>
      </c>
    </row>
    <row r="271" spans="1:21" ht="15.75" customHeight="1" x14ac:dyDescent="0.2">
      <c r="A271" s="26" t="s">
        <v>1046</v>
      </c>
      <c r="B271" s="13" t="s">
        <v>1047</v>
      </c>
      <c r="C271" s="13">
        <v>4</v>
      </c>
      <c r="D271" s="13"/>
      <c r="E271" s="13" t="s">
        <v>2656</v>
      </c>
      <c r="F271" s="13"/>
      <c r="G271" s="20" t="s">
        <v>1003</v>
      </c>
      <c r="H271" s="20"/>
      <c r="I271" s="13" t="s">
        <v>2543</v>
      </c>
      <c r="J271" s="13"/>
      <c r="K271" s="13" t="s">
        <v>2543</v>
      </c>
      <c r="L271" s="13"/>
      <c r="M271" s="13"/>
      <c r="N271" s="13"/>
      <c r="O271" s="13" t="s">
        <v>2657</v>
      </c>
      <c r="P271" s="13"/>
      <c r="Q271" s="13" t="s">
        <v>2650</v>
      </c>
      <c r="R271" s="13"/>
      <c r="S271" s="13" t="s">
        <v>2650</v>
      </c>
      <c r="T271" s="13"/>
      <c r="U271" s="13" t="s">
        <v>2319</v>
      </c>
    </row>
    <row r="272" spans="1:21" ht="15.75" customHeight="1" x14ac:dyDescent="0.2">
      <c r="A272" s="26" t="s">
        <v>1058</v>
      </c>
      <c r="B272" s="13" t="s">
        <v>1059</v>
      </c>
      <c r="C272" s="13">
        <v>6</v>
      </c>
      <c r="D272" s="13"/>
      <c r="E272" s="13" t="s">
        <v>1003</v>
      </c>
      <c r="F272" s="13"/>
      <c r="G272" s="20" t="s">
        <v>1003</v>
      </c>
      <c r="H272" s="20"/>
      <c r="I272" s="13" t="s">
        <v>2543</v>
      </c>
      <c r="J272" s="13"/>
      <c r="K272" s="13" t="s">
        <v>2543</v>
      </c>
      <c r="L272" s="13"/>
      <c r="M272" s="13"/>
      <c r="N272" s="13"/>
      <c r="O272" s="13" t="s">
        <v>2658</v>
      </c>
      <c r="P272" s="13"/>
      <c r="Q272" s="13" t="s">
        <v>2659</v>
      </c>
      <c r="R272" s="13"/>
      <c r="S272" s="13" t="s">
        <v>2660</v>
      </c>
      <c r="T272" s="13"/>
      <c r="U272" s="13" t="s">
        <v>2321</v>
      </c>
    </row>
    <row r="273" spans="1:21" ht="15.75" customHeight="1" x14ac:dyDescent="0.2">
      <c r="A273" s="26" t="s">
        <v>1018</v>
      </c>
      <c r="B273" s="13" t="s">
        <v>1019</v>
      </c>
      <c r="C273" s="13">
        <v>4</v>
      </c>
      <c r="D273" s="13"/>
      <c r="E273" s="13" t="s">
        <v>1003</v>
      </c>
      <c r="F273" s="13"/>
      <c r="G273" s="20" t="s">
        <v>1003</v>
      </c>
      <c r="H273" s="20"/>
      <c r="I273" s="13" t="s">
        <v>2543</v>
      </c>
      <c r="J273" s="13"/>
      <c r="K273" s="13" t="s">
        <v>2543</v>
      </c>
      <c r="L273" s="13"/>
      <c r="M273" s="13"/>
      <c r="N273" s="13"/>
      <c r="O273" s="13" t="s">
        <v>2658</v>
      </c>
      <c r="P273" s="13"/>
      <c r="Q273" s="13" t="s">
        <v>2661</v>
      </c>
      <c r="R273" s="13"/>
      <c r="S273" s="13" t="s">
        <v>2660</v>
      </c>
      <c r="T273" s="13"/>
      <c r="U273" s="13" t="s">
        <v>2321</v>
      </c>
    </row>
    <row r="274" spans="1:21" ht="15.75" customHeight="1" x14ac:dyDescent="0.2">
      <c r="A274" s="26" t="s">
        <v>1015</v>
      </c>
      <c r="B274" s="13" t="s">
        <v>1016</v>
      </c>
      <c r="C274" s="13">
        <v>6</v>
      </c>
      <c r="D274" s="13"/>
      <c r="E274" s="13" t="s">
        <v>2662</v>
      </c>
      <c r="F274" s="13"/>
      <c r="G274" s="13" t="s">
        <v>2662</v>
      </c>
      <c r="H274" s="20"/>
      <c r="I274" s="13" t="s">
        <v>2543</v>
      </c>
      <c r="J274" s="13"/>
      <c r="K274" s="13" t="s">
        <v>2543</v>
      </c>
      <c r="L274" s="13"/>
      <c r="M274" s="13"/>
      <c r="N274" s="13"/>
      <c r="O274" s="13" t="s">
        <v>2663</v>
      </c>
      <c r="P274" s="13"/>
      <c r="Q274" s="13" t="s">
        <v>2659</v>
      </c>
      <c r="R274" s="13"/>
      <c r="S274" s="13" t="s">
        <v>2659</v>
      </c>
      <c r="T274" s="13"/>
      <c r="U274" s="13" t="s">
        <v>2321</v>
      </c>
    </row>
    <row r="275" spans="1:21" ht="15.75" customHeight="1" x14ac:dyDescent="0.2">
      <c r="A275" s="26" t="s">
        <v>1078</v>
      </c>
      <c r="B275" s="13" t="s">
        <v>1079</v>
      </c>
      <c r="C275" s="13">
        <v>7</v>
      </c>
      <c r="D275" s="13"/>
      <c r="E275" s="13"/>
      <c r="F275" s="13"/>
      <c r="G275" s="13" t="s">
        <v>2647</v>
      </c>
      <c r="H275" s="31"/>
      <c r="I275" s="13" t="s">
        <v>2543</v>
      </c>
      <c r="J275" s="13"/>
      <c r="K275" s="13" t="s">
        <v>2543</v>
      </c>
      <c r="L275" s="13"/>
      <c r="M275" s="13"/>
      <c r="N275" s="13"/>
      <c r="O275" s="13" t="s">
        <v>2664</v>
      </c>
      <c r="P275" s="13"/>
      <c r="Q275" s="13" t="s">
        <v>2659</v>
      </c>
      <c r="R275" s="13"/>
      <c r="S275" s="13" t="s">
        <v>2659</v>
      </c>
      <c r="T275" s="13"/>
      <c r="U275" s="13" t="s">
        <v>2665</v>
      </c>
    </row>
    <row r="276" spans="1:21" ht="15.75" customHeight="1" x14ac:dyDescent="0.2">
      <c r="A276" s="26" t="s">
        <v>1067</v>
      </c>
      <c r="B276" s="13" t="s">
        <v>1068</v>
      </c>
      <c r="C276" s="13">
        <v>6</v>
      </c>
      <c r="D276" s="13"/>
      <c r="E276" s="13" t="s">
        <v>2662</v>
      </c>
      <c r="F276" s="13"/>
      <c r="G276" s="13" t="s">
        <v>2662</v>
      </c>
      <c r="H276" s="20"/>
      <c r="I276" s="13" t="s">
        <v>2543</v>
      </c>
      <c r="J276" s="13"/>
      <c r="K276" s="13" t="s">
        <v>2543</v>
      </c>
      <c r="L276" s="13"/>
      <c r="M276" s="13"/>
      <c r="N276" s="13"/>
      <c r="O276" s="13" t="s">
        <v>2666</v>
      </c>
      <c r="P276" s="13"/>
      <c r="Q276" s="13" t="s">
        <v>2667</v>
      </c>
      <c r="R276" s="13"/>
      <c r="S276" s="13" t="s">
        <v>2667</v>
      </c>
      <c r="T276" s="13"/>
      <c r="U276" s="13" t="s">
        <v>2665</v>
      </c>
    </row>
    <row r="277" spans="1:21" ht="15.75" customHeight="1" x14ac:dyDescent="0.2">
      <c r="A277" s="26" t="s">
        <v>1041</v>
      </c>
      <c r="B277" s="13" t="s">
        <v>1042</v>
      </c>
      <c r="C277" s="13">
        <v>5</v>
      </c>
      <c r="D277" s="13"/>
      <c r="E277" s="13" t="s">
        <v>2078</v>
      </c>
      <c r="F277" s="13"/>
      <c r="G277" s="13" t="s">
        <v>2454</v>
      </c>
      <c r="H277" s="20"/>
      <c r="I277" s="13" t="s">
        <v>2543</v>
      </c>
      <c r="J277" s="13"/>
      <c r="K277" s="13" t="s">
        <v>2543</v>
      </c>
      <c r="L277" s="13"/>
      <c r="M277" s="13" t="s">
        <v>2496</v>
      </c>
      <c r="N277" s="13"/>
      <c r="O277" s="13" t="s">
        <v>2496</v>
      </c>
      <c r="P277" s="13"/>
      <c r="Q277" s="13" t="s">
        <v>2667</v>
      </c>
      <c r="R277" s="13"/>
      <c r="S277" s="13" t="s">
        <v>2667</v>
      </c>
      <c r="T277" s="13"/>
      <c r="U277" s="13" t="s">
        <v>2668</v>
      </c>
    </row>
    <row r="278" spans="1:21" ht="15.75" customHeight="1" x14ac:dyDescent="0.2">
      <c r="A278" s="26" t="s">
        <v>1169</v>
      </c>
      <c r="B278" s="13" t="s">
        <v>1170</v>
      </c>
      <c r="C278" s="13">
        <v>5</v>
      </c>
      <c r="D278" s="13"/>
      <c r="E278" s="13" t="s">
        <v>2669</v>
      </c>
      <c r="F278" s="13"/>
      <c r="G278" s="20" t="s">
        <v>2669</v>
      </c>
      <c r="H278" s="20"/>
      <c r="I278" s="13" t="s">
        <v>2543</v>
      </c>
      <c r="J278" s="13"/>
      <c r="K278" s="13" t="s">
        <v>2543</v>
      </c>
      <c r="L278" s="13"/>
      <c r="M278" s="13" t="s">
        <v>2496</v>
      </c>
      <c r="N278" s="13"/>
      <c r="O278" s="13" t="s">
        <v>2496</v>
      </c>
      <c r="P278" s="13"/>
      <c r="Q278" s="13" t="s">
        <v>2667</v>
      </c>
      <c r="R278" s="13"/>
      <c r="S278" s="13" t="s">
        <v>2667</v>
      </c>
      <c r="T278" s="13"/>
      <c r="U278" s="13" t="s">
        <v>2665</v>
      </c>
    </row>
    <row r="279" spans="1:21" ht="15.75" customHeight="1" x14ac:dyDescent="0.2">
      <c r="A279" s="26" t="s">
        <v>2670</v>
      </c>
      <c r="B279" s="13" t="s">
        <v>1206</v>
      </c>
      <c r="C279" s="13">
        <v>4</v>
      </c>
      <c r="D279" s="13"/>
      <c r="E279" s="13" t="s">
        <v>2669</v>
      </c>
      <c r="F279" s="13"/>
      <c r="G279" s="20" t="s">
        <v>2669</v>
      </c>
      <c r="H279" s="20"/>
      <c r="I279" s="13" t="s">
        <v>2543</v>
      </c>
      <c r="J279" s="13"/>
      <c r="K279" s="13" t="s">
        <v>2543</v>
      </c>
      <c r="L279" s="13"/>
      <c r="M279" s="13" t="s">
        <v>2496</v>
      </c>
      <c r="N279" s="13"/>
      <c r="O279" s="13" t="s">
        <v>2496</v>
      </c>
      <c r="P279" s="13"/>
      <c r="Q279" s="13" t="s">
        <v>2667</v>
      </c>
      <c r="R279" s="13"/>
      <c r="S279" s="13" t="s">
        <v>2667</v>
      </c>
      <c r="T279" s="13"/>
      <c r="U279" s="13" t="s">
        <v>2665</v>
      </c>
    </row>
    <row r="280" spans="1:21" ht="15.75" customHeight="1" x14ac:dyDescent="0.2">
      <c r="A280" s="26" t="s">
        <v>1001</v>
      </c>
      <c r="B280" s="13" t="s">
        <v>1002</v>
      </c>
      <c r="C280" s="13">
        <v>6</v>
      </c>
      <c r="D280" s="13"/>
      <c r="E280" s="13" t="s">
        <v>2078</v>
      </c>
      <c r="F280" s="13"/>
      <c r="G280" s="13" t="s">
        <v>2454</v>
      </c>
      <c r="H280" s="20"/>
      <c r="I280" s="13" t="s">
        <v>2543</v>
      </c>
      <c r="J280" s="13"/>
      <c r="K280" s="13" t="s">
        <v>2543</v>
      </c>
      <c r="L280" s="13"/>
      <c r="M280" s="13" t="s">
        <v>2316</v>
      </c>
      <c r="N280" s="13"/>
      <c r="O280" s="13" t="s">
        <v>2496</v>
      </c>
      <c r="P280" s="13"/>
      <c r="Q280" s="13" t="s">
        <v>2147</v>
      </c>
      <c r="R280" s="13"/>
      <c r="S280" s="13" t="s">
        <v>2147</v>
      </c>
      <c r="T280" s="13"/>
      <c r="U280" s="13" t="s">
        <v>2668</v>
      </c>
    </row>
    <row r="281" spans="1:21" ht="15.75" customHeight="1" x14ac:dyDescent="0.2">
      <c r="A281" s="26" t="s">
        <v>1034</v>
      </c>
      <c r="B281" s="13" t="s">
        <v>1035</v>
      </c>
      <c r="C281" s="13">
        <v>4</v>
      </c>
      <c r="D281" s="13"/>
      <c r="E281" s="13" t="s">
        <v>2669</v>
      </c>
      <c r="F281" s="13"/>
      <c r="G281" s="20" t="s">
        <v>2669</v>
      </c>
      <c r="H281" s="20"/>
      <c r="I281" s="13" t="s">
        <v>2671</v>
      </c>
      <c r="J281" s="13"/>
      <c r="K281" s="13" t="s">
        <v>2671</v>
      </c>
      <c r="L281" s="13"/>
      <c r="M281" s="20" t="s">
        <v>2590</v>
      </c>
      <c r="N281" s="13"/>
      <c r="O281" s="20" t="s">
        <v>2590</v>
      </c>
      <c r="P281" s="13"/>
      <c r="Q281" s="13" t="s">
        <v>2159</v>
      </c>
      <c r="R281" s="13"/>
      <c r="S281" s="13" t="s">
        <v>2159</v>
      </c>
      <c r="T281" s="13"/>
      <c r="U281" s="13" t="s">
        <v>2665</v>
      </c>
    </row>
    <row r="282" spans="1:21" ht="15.75" customHeight="1" x14ac:dyDescent="0.2">
      <c r="A282" s="26" t="s">
        <v>132</v>
      </c>
      <c r="B282" s="13" t="s">
        <v>1017</v>
      </c>
      <c r="C282" s="13">
        <v>6</v>
      </c>
      <c r="D282" s="13"/>
      <c r="E282" s="13" t="s">
        <v>2662</v>
      </c>
      <c r="F282" s="13"/>
      <c r="G282" s="13" t="s">
        <v>2662</v>
      </c>
      <c r="H282" s="20"/>
      <c r="I282" s="13" t="s">
        <v>2672</v>
      </c>
      <c r="J282" s="13"/>
      <c r="K282" s="13" t="s">
        <v>2673</v>
      </c>
      <c r="L282" s="13"/>
      <c r="M282" s="20" t="s">
        <v>2590</v>
      </c>
      <c r="N282" s="13"/>
      <c r="O282" s="20" t="s">
        <v>2590</v>
      </c>
      <c r="P282" s="13"/>
      <c r="Q282" s="13" t="s">
        <v>2159</v>
      </c>
      <c r="R282" s="13"/>
      <c r="S282" s="13" t="s">
        <v>2159</v>
      </c>
      <c r="T282" s="13"/>
      <c r="U282" s="13" t="s">
        <v>2665</v>
      </c>
    </row>
    <row r="283" spans="1:21" ht="15.75" customHeight="1" x14ac:dyDescent="0.2">
      <c r="A283" s="26" t="s">
        <v>1007</v>
      </c>
      <c r="B283" s="13" t="s">
        <v>1008</v>
      </c>
      <c r="C283" s="13">
        <v>6</v>
      </c>
      <c r="D283" s="13"/>
      <c r="E283" s="13" t="s">
        <v>2587</v>
      </c>
      <c r="F283" s="13"/>
      <c r="G283" s="13" t="s">
        <v>2587</v>
      </c>
      <c r="H283" s="20"/>
      <c r="I283" s="13" t="s">
        <v>2674</v>
      </c>
      <c r="J283" s="13"/>
      <c r="K283" s="13" t="s">
        <v>2674</v>
      </c>
      <c r="L283" s="13"/>
      <c r="M283" s="20" t="s">
        <v>2590</v>
      </c>
      <c r="N283" s="13"/>
      <c r="O283" s="20" t="s">
        <v>2590</v>
      </c>
      <c r="P283" s="13"/>
      <c r="Q283" s="13" t="s">
        <v>2159</v>
      </c>
      <c r="R283" s="13"/>
      <c r="S283" s="13" t="s">
        <v>2159</v>
      </c>
      <c r="T283" s="13"/>
      <c r="U283" s="13" t="s">
        <v>2668</v>
      </c>
    </row>
    <row r="284" spans="1:21" ht="15.75" customHeight="1" x14ac:dyDescent="0.2">
      <c r="A284" s="26" t="s">
        <v>1009</v>
      </c>
      <c r="B284" s="13" t="s">
        <v>1010</v>
      </c>
      <c r="C284" s="13">
        <v>3</v>
      </c>
      <c r="D284" s="13"/>
      <c r="E284" s="13" t="s">
        <v>2587</v>
      </c>
      <c r="F284" s="13"/>
      <c r="G284" s="13" t="s">
        <v>2587</v>
      </c>
      <c r="H284" s="20"/>
      <c r="I284" s="13" t="s">
        <v>2588</v>
      </c>
      <c r="J284" s="13"/>
      <c r="K284" s="13" t="s">
        <v>2589</v>
      </c>
      <c r="L284" s="13"/>
      <c r="M284" s="20" t="s">
        <v>2590</v>
      </c>
      <c r="N284" s="13"/>
      <c r="O284" s="20" t="s">
        <v>2590</v>
      </c>
      <c r="P284" s="13"/>
      <c r="Q284" s="13" t="s">
        <v>2159</v>
      </c>
      <c r="R284" s="13"/>
      <c r="S284" s="13" t="s">
        <v>2159</v>
      </c>
      <c r="T284" s="13"/>
      <c r="U284" s="13" t="s">
        <v>2665</v>
      </c>
    </row>
    <row r="285" spans="1:21" ht="15.75" customHeight="1" x14ac:dyDescent="0.2">
      <c r="A285" s="26" t="s">
        <v>1054</v>
      </c>
      <c r="B285" s="13" t="s">
        <v>1055</v>
      </c>
      <c r="C285" s="13">
        <v>3</v>
      </c>
      <c r="D285" s="13"/>
      <c r="E285" s="13"/>
      <c r="F285" s="13"/>
      <c r="G285" s="20"/>
      <c r="H285" s="20"/>
      <c r="I285" s="13"/>
      <c r="J285" s="13"/>
      <c r="K285" s="13"/>
      <c r="L285" s="13"/>
      <c r="M285" s="13" t="s">
        <v>2675</v>
      </c>
      <c r="N285" s="13" t="s">
        <v>2185</v>
      </c>
      <c r="O285" s="13"/>
      <c r="P285" s="13" t="s">
        <v>2185</v>
      </c>
      <c r="Q285" s="13"/>
      <c r="R285" s="13" t="s">
        <v>2171</v>
      </c>
      <c r="S285" s="13"/>
      <c r="T285" s="13" t="s">
        <v>2171</v>
      </c>
      <c r="U285" s="13" t="s">
        <v>2665</v>
      </c>
    </row>
    <row r="286" spans="1:21" ht="15.75" customHeight="1" x14ac:dyDescent="0.2">
      <c r="A286" s="26" t="s">
        <v>1024</v>
      </c>
      <c r="B286" s="13" t="s">
        <v>1025</v>
      </c>
      <c r="C286" s="13">
        <v>5</v>
      </c>
      <c r="D286" s="13"/>
      <c r="E286" s="13"/>
      <c r="F286" s="13"/>
      <c r="G286" s="13" t="s">
        <v>2313</v>
      </c>
      <c r="H286" s="20"/>
      <c r="I286" s="13" t="s">
        <v>2676</v>
      </c>
      <c r="J286" s="13"/>
      <c r="K286" s="13" t="s">
        <v>2523</v>
      </c>
      <c r="L286" s="13"/>
      <c r="M286" s="13" t="s">
        <v>2523</v>
      </c>
      <c r="N286" s="13"/>
      <c r="O286" s="13" t="s">
        <v>2666</v>
      </c>
      <c r="P286" s="13"/>
      <c r="Q286" s="13" t="s">
        <v>2677</v>
      </c>
      <c r="R286" s="13"/>
      <c r="S286" s="13" t="s">
        <v>2677</v>
      </c>
      <c r="T286" s="13"/>
      <c r="U286" s="13" t="s">
        <v>2665</v>
      </c>
    </row>
    <row r="287" spans="1:21" ht="15.75" customHeight="1" x14ac:dyDescent="0.2">
      <c r="A287" s="26" t="s">
        <v>1478</v>
      </c>
      <c r="B287" s="13" t="s">
        <v>1479</v>
      </c>
      <c r="C287" s="13">
        <v>7</v>
      </c>
      <c r="D287" s="13"/>
      <c r="E287" s="13"/>
      <c r="F287" s="13"/>
      <c r="G287" s="13" t="s">
        <v>2180</v>
      </c>
      <c r="H287" s="20"/>
      <c r="I287" s="13" t="s">
        <v>2314</v>
      </c>
      <c r="J287" s="13"/>
      <c r="K287" s="13" t="s">
        <v>2398</v>
      </c>
      <c r="L287" s="13"/>
      <c r="M287" s="13" t="s">
        <v>2398</v>
      </c>
      <c r="N287" s="13"/>
      <c r="O287" s="13" t="s">
        <v>2666</v>
      </c>
      <c r="P287" s="13"/>
      <c r="Q287" s="13" t="s">
        <v>2312</v>
      </c>
      <c r="R287" s="13"/>
      <c r="S287" s="13" t="s">
        <v>2312</v>
      </c>
      <c r="T287" s="13"/>
      <c r="U287" s="13" t="s">
        <v>2665</v>
      </c>
    </row>
    <row r="288" spans="1:21" ht="15.75" customHeight="1" x14ac:dyDescent="0.2">
      <c r="A288" s="26" t="s">
        <v>1072</v>
      </c>
      <c r="B288" s="13" t="s">
        <v>1073</v>
      </c>
      <c r="C288" s="13">
        <v>5</v>
      </c>
      <c r="D288" s="13"/>
      <c r="E288" s="13"/>
      <c r="F288" s="13"/>
      <c r="G288" s="13" t="s">
        <v>2180</v>
      </c>
      <c r="H288" s="20"/>
      <c r="I288" s="13" t="s">
        <v>2678</v>
      </c>
      <c r="J288" s="13" t="s">
        <v>2183</v>
      </c>
      <c r="K288" s="13"/>
      <c r="L288" s="13" t="s">
        <v>2183</v>
      </c>
      <c r="M288" s="13" t="s">
        <v>2496</v>
      </c>
      <c r="N288" s="13"/>
      <c r="O288" s="13" t="s">
        <v>2496</v>
      </c>
      <c r="P288" s="13"/>
      <c r="Q288" s="13" t="s">
        <v>2312</v>
      </c>
      <c r="R288" s="13"/>
      <c r="S288" s="13" t="s">
        <v>2312</v>
      </c>
      <c r="T288" s="13"/>
      <c r="U288" s="13" t="s">
        <v>2665</v>
      </c>
    </row>
    <row r="289" spans="1:21" ht="15.75" customHeight="1" x14ac:dyDescent="0.2">
      <c r="A289" s="26" t="s">
        <v>1081</v>
      </c>
      <c r="B289" s="13" t="s">
        <v>1082</v>
      </c>
      <c r="C289" s="13">
        <v>6</v>
      </c>
      <c r="D289" s="13"/>
      <c r="E289" s="13"/>
      <c r="F289" s="13"/>
      <c r="G289" s="13" t="s">
        <v>2679</v>
      </c>
      <c r="H289" s="13"/>
      <c r="I289" s="13" t="s">
        <v>2680</v>
      </c>
      <c r="J289" s="13"/>
      <c r="K289" s="13" t="s">
        <v>2680</v>
      </c>
      <c r="L289" s="13"/>
      <c r="M289" s="13" t="s">
        <v>2316</v>
      </c>
      <c r="N289" s="13"/>
      <c r="O289" s="13" t="s">
        <v>2496</v>
      </c>
      <c r="P289" s="13"/>
      <c r="Q289" s="13" t="s">
        <v>2312</v>
      </c>
      <c r="R289" s="13"/>
      <c r="S289" s="13" t="s">
        <v>2312</v>
      </c>
      <c r="T289" s="13"/>
      <c r="U289" s="13" t="s">
        <v>2668</v>
      </c>
    </row>
    <row r="290" spans="1:21" ht="15.75" customHeight="1" x14ac:dyDescent="0.2">
      <c r="A290" s="26" t="s">
        <v>1109</v>
      </c>
      <c r="B290" s="13"/>
      <c r="C290" s="13">
        <v>4</v>
      </c>
      <c r="D290" s="13"/>
      <c r="E290" s="13"/>
      <c r="F290" s="13"/>
      <c r="G290" s="13"/>
      <c r="H290" s="13"/>
      <c r="I290" s="13"/>
      <c r="J290" s="13"/>
      <c r="K290" s="13"/>
      <c r="L290" s="13"/>
      <c r="M290" s="13"/>
      <c r="N290" s="13"/>
      <c r="O290" s="13"/>
      <c r="P290" s="13"/>
      <c r="Q290" s="20" t="s">
        <v>1983</v>
      </c>
      <c r="R290" s="13"/>
      <c r="S290" s="20" t="s">
        <v>1983</v>
      </c>
      <c r="T290" s="20"/>
      <c r="U290" s="13"/>
    </row>
    <row r="291" spans="1:21" ht="15.75" customHeight="1" x14ac:dyDescent="0.2">
      <c r="A291" s="26" t="s">
        <v>1503</v>
      </c>
      <c r="B291" s="13" t="s">
        <v>1504</v>
      </c>
      <c r="C291" s="13">
        <v>2</v>
      </c>
      <c r="D291" s="13"/>
      <c r="E291" s="13" t="s">
        <v>2681</v>
      </c>
      <c r="F291" s="13"/>
      <c r="G291" s="13" t="s">
        <v>2555</v>
      </c>
      <c r="H291" s="20"/>
      <c r="I291" s="13" t="s">
        <v>2682</v>
      </c>
      <c r="J291" s="13"/>
      <c r="K291" s="13" t="s">
        <v>2682</v>
      </c>
      <c r="L291" s="13"/>
      <c r="M291" s="20" t="s">
        <v>2595</v>
      </c>
      <c r="N291" s="13"/>
      <c r="O291" s="13" t="s">
        <v>2545</v>
      </c>
      <c r="P291" s="13"/>
      <c r="Q291" s="13" t="s">
        <v>2546</v>
      </c>
      <c r="R291" s="13"/>
      <c r="S291" s="13" t="s">
        <v>2547</v>
      </c>
      <c r="T291" s="13"/>
      <c r="U291" s="20" t="s">
        <v>2414</v>
      </c>
    </row>
    <row r="292" spans="1:21" ht="15.75" customHeight="1" x14ac:dyDescent="0.2">
      <c r="A292" s="26" t="s">
        <v>939</v>
      </c>
      <c r="B292" s="13" t="s">
        <v>940</v>
      </c>
      <c r="C292" s="13">
        <v>4</v>
      </c>
      <c r="D292" s="13"/>
      <c r="E292" s="13" t="s">
        <v>2617</v>
      </c>
      <c r="F292" s="13"/>
      <c r="G292" s="13" t="s">
        <v>2683</v>
      </c>
      <c r="H292" s="20"/>
      <c r="I292" s="13" t="s">
        <v>2684</v>
      </c>
      <c r="J292" s="13"/>
      <c r="K292" s="13" t="s">
        <v>2685</v>
      </c>
      <c r="L292" s="13"/>
      <c r="M292" s="13" t="s">
        <v>2686</v>
      </c>
      <c r="N292" s="13"/>
      <c r="O292" s="13" t="s">
        <v>2412</v>
      </c>
      <c r="P292" s="13"/>
      <c r="Q292" s="13" t="s">
        <v>2687</v>
      </c>
      <c r="R292" s="13"/>
      <c r="S292" s="13" t="s">
        <v>2687</v>
      </c>
      <c r="T292" s="13"/>
      <c r="U292" s="20" t="s">
        <v>2414</v>
      </c>
    </row>
    <row r="293" spans="1:21" ht="15.75" customHeight="1" x14ac:dyDescent="0.2">
      <c r="A293" s="26" t="s">
        <v>2688</v>
      </c>
      <c r="B293" s="13" t="s">
        <v>944</v>
      </c>
      <c r="C293" s="13">
        <v>2</v>
      </c>
      <c r="D293" s="13"/>
      <c r="E293" s="13"/>
      <c r="F293" s="13"/>
      <c r="G293" s="13" t="s">
        <v>1986</v>
      </c>
      <c r="H293" s="20"/>
      <c r="I293" s="13" t="s">
        <v>1987</v>
      </c>
      <c r="J293" s="13"/>
      <c r="K293" s="13" t="s">
        <v>1988</v>
      </c>
      <c r="L293" s="13"/>
      <c r="M293" s="13" t="s">
        <v>2689</v>
      </c>
      <c r="N293" s="13"/>
      <c r="O293" s="13" t="s">
        <v>2689</v>
      </c>
      <c r="P293" s="13"/>
      <c r="Q293" s="13" t="s">
        <v>2690</v>
      </c>
      <c r="R293" s="13"/>
      <c r="S293" s="13" t="s">
        <v>2690</v>
      </c>
      <c r="T293" s="13"/>
      <c r="U293" s="20" t="s">
        <v>2414</v>
      </c>
    </row>
    <row r="294" spans="1:21" ht="15.75" customHeight="1" x14ac:dyDescent="0.2">
      <c r="A294" s="26" t="s">
        <v>1880</v>
      </c>
      <c r="B294" s="13" t="s">
        <v>2691</v>
      </c>
      <c r="C294" s="13">
        <v>2</v>
      </c>
      <c r="D294" s="13"/>
      <c r="E294" s="13" t="s">
        <v>2692</v>
      </c>
      <c r="F294" s="13"/>
      <c r="G294" s="13" t="s">
        <v>2454</v>
      </c>
      <c r="H294" s="20"/>
      <c r="I294" s="13" t="s">
        <v>2543</v>
      </c>
      <c r="J294" s="13"/>
      <c r="K294" s="13" t="s">
        <v>2543</v>
      </c>
      <c r="L294" s="13"/>
      <c r="M294" s="20" t="s">
        <v>2607</v>
      </c>
      <c r="N294" s="13"/>
      <c r="O294" s="20" t="s">
        <v>2607</v>
      </c>
      <c r="P294" s="13"/>
      <c r="Q294" s="13" t="s">
        <v>2612</v>
      </c>
      <c r="R294" s="13"/>
      <c r="S294" s="13" t="s">
        <v>2612</v>
      </c>
      <c r="T294" s="13"/>
      <c r="U294" s="20" t="s">
        <v>2414</v>
      </c>
    </row>
    <row r="295" spans="1:21" ht="15.75" customHeight="1" x14ac:dyDescent="0.2">
      <c r="A295" s="26" t="s">
        <v>967</v>
      </c>
      <c r="B295" s="13" t="s">
        <v>968</v>
      </c>
      <c r="C295" s="13">
        <v>3</v>
      </c>
      <c r="D295" s="13"/>
      <c r="E295" s="13" t="s">
        <v>2693</v>
      </c>
      <c r="F295" s="13"/>
      <c r="G295" s="13" t="s">
        <v>2568</v>
      </c>
      <c r="H295" s="20"/>
      <c r="I295" s="13" t="s">
        <v>2682</v>
      </c>
      <c r="J295" s="13"/>
      <c r="K295" s="13" t="s">
        <v>2682</v>
      </c>
      <c r="L295" s="13"/>
      <c r="M295" s="13" t="s">
        <v>2614</v>
      </c>
      <c r="N295" s="13"/>
      <c r="O295" s="13" t="s">
        <v>2614</v>
      </c>
      <c r="P295" s="13"/>
      <c r="Q295" s="13" t="s">
        <v>2625</v>
      </c>
      <c r="R295" s="13"/>
      <c r="S295" s="13" t="s">
        <v>2625</v>
      </c>
      <c r="T295" s="13"/>
      <c r="U295" s="20" t="s">
        <v>2414</v>
      </c>
    </row>
    <row r="296" spans="1:21" ht="15.75" customHeight="1" x14ac:dyDescent="0.2">
      <c r="A296" s="26" t="s">
        <v>1224</v>
      </c>
      <c r="B296" s="13" t="s">
        <v>1225</v>
      </c>
      <c r="C296" s="13">
        <v>1</v>
      </c>
      <c r="D296" s="13"/>
      <c r="E296" s="13" t="s">
        <v>2078</v>
      </c>
      <c r="F296" s="13"/>
      <c r="G296" s="13" t="s">
        <v>2078</v>
      </c>
      <c r="H296" s="20"/>
      <c r="I296" s="13" t="s">
        <v>2543</v>
      </c>
      <c r="J296" s="13"/>
      <c r="K296" s="13" t="s">
        <v>2543</v>
      </c>
      <c r="L296" s="13"/>
      <c r="M296" s="20" t="s">
        <v>2694</v>
      </c>
      <c r="N296" s="13"/>
      <c r="O296" s="13" t="s">
        <v>2412</v>
      </c>
      <c r="P296" s="13"/>
      <c r="Q296" s="13" t="s">
        <v>2413</v>
      </c>
      <c r="R296" s="13"/>
      <c r="S296" s="13" t="s">
        <v>2413</v>
      </c>
      <c r="T296" s="13"/>
      <c r="U296" s="20" t="s">
        <v>2414</v>
      </c>
    </row>
    <row r="297" spans="1:21" ht="15.75" customHeight="1" x14ac:dyDescent="0.2">
      <c r="A297" s="26" t="s">
        <v>884</v>
      </c>
      <c r="B297" s="13" t="s">
        <v>885</v>
      </c>
      <c r="C297" s="13">
        <v>4</v>
      </c>
      <c r="D297" s="13"/>
      <c r="E297" s="13" t="s">
        <v>2078</v>
      </c>
      <c r="F297" s="13"/>
      <c r="G297" s="13" t="s">
        <v>2454</v>
      </c>
      <c r="H297" s="20"/>
      <c r="I297" s="13" t="s">
        <v>2543</v>
      </c>
      <c r="J297" s="13"/>
      <c r="K297" s="13" t="s">
        <v>2543</v>
      </c>
      <c r="L297" s="13"/>
      <c r="M297" s="20" t="s">
        <v>2607</v>
      </c>
      <c r="N297" s="13"/>
      <c r="O297" s="20" t="s">
        <v>2607</v>
      </c>
      <c r="P297" s="13"/>
      <c r="Q297" s="13" t="s">
        <v>2413</v>
      </c>
      <c r="R297" s="13"/>
      <c r="S297" s="13" t="s">
        <v>2413</v>
      </c>
      <c r="T297" s="13"/>
      <c r="U297" s="20" t="s">
        <v>2414</v>
      </c>
    </row>
    <row r="298" spans="1:21" ht="15.75" customHeight="1" x14ac:dyDescent="0.2">
      <c r="A298" s="26" t="s">
        <v>965</v>
      </c>
      <c r="B298" s="13" t="s">
        <v>966</v>
      </c>
      <c r="C298" s="13">
        <v>2</v>
      </c>
      <c r="D298" s="13"/>
      <c r="E298" s="13" t="s">
        <v>2695</v>
      </c>
      <c r="F298" s="13"/>
      <c r="G298" s="13" t="s">
        <v>2683</v>
      </c>
      <c r="H298" s="20"/>
      <c r="I298" s="13" t="s">
        <v>2543</v>
      </c>
      <c r="J298" s="13"/>
      <c r="K298" s="13" t="s">
        <v>2543</v>
      </c>
      <c r="L298" s="13"/>
      <c r="M298" s="13" t="s">
        <v>2696</v>
      </c>
      <c r="N298" s="13"/>
      <c r="O298" s="13" t="s">
        <v>2696</v>
      </c>
      <c r="P298" s="13"/>
      <c r="Q298" s="13" t="s">
        <v>2413</v>
      </c>
      <c r="R298" s="13"/>
      <c r="S298" s="13" t="s">
        <v>2413</v>
      </c>
      <c r="T298" s="13"/>
      <c r="U298" s="20" t="s">
        <v>2414</v>
      </c>
    </row>
    <row r="299" spans="1:21" ht="15.75" customHeight="1" x14ac:dyDescent="0.2">
      <c r="A299" s="26" t="s">
        <v>1489</v>
      </c>
      <c r="B299" s="13" t="s">
        <v>1490</v>
      </c>
      <c r="C299" s="13">
        <v>3</v>
      </c>
      <c r="D299" s="13"/>
      <c r="E299" s="13"/>
      <c r="F299" s="13"/>
      <c r="G299" s="13" t="s">
        <v>2697</v>
      </c>
      <c r="H299" s="20"/>
      <c r="I299" s="13" t="s">
        <v>2698</v>
      </c>
      <c r="J299" s="13" t="s">
        <v>2183</v>
      </c>
      <c r="K299" s="13" t="s">
        <v>2316</v>
      </c>
      <c r="L299" s="13" t="s">
        <v>2183</v>
      </c>
      <c r="M299" s="13" t="s">
        <v>2316</v>
      </c>
      <c r="N299" s="13"/>
      <c r="O299" s="13" t="s">
        <v>2496</v>
      </c>
      <c r="P299" s="13"/>
      <c r="Q299" s="13" t="s">
        <v>2413</v>
      </c>
      <c r="R299" s="13"/>
      <c r="S299" s="13" t="s">
        <v>2413</v>
      </c>
      <c r="T299" s="13"/>
      <c r="U299" s="20" t="s">
        <v>2414</v>
      </c>
    </row>
    <row r="300" spans="1:21" ht="15.75" customHeight="1" x14ac:dyDescent="0.2">
      <c r="A300" s="26" t="s">
        <v>911</v>
      </c>
      <c r="B300" s="13" t="s">
        <v>912</v>
      </c>
      <c r="C300" s="13">
        <v>1</v>
      </c>
      <c r="D300" s="13"/>
      <c r="E300" s="13" t="s">
        <v>2592</v>
      </c>
      <c r="F300" s="13"/>
      <c r="G300" s="13" t="s">
        <v>2454</v>
      </c>
      <c r="H300" s="20"/>
      <c r="I300" s="13" t="s">
        <v>2543</v>
      </c>
      <c r="J300" s="13"/>
      <c r="K300" s="13" t="s">
        <v>2543</v>
      </c>
      <c r="L300" s="13"/>
      <c r="M300" s="13" t="s">
        <v>2316</v>
      </c>
      <c r="N300" s="13"/>
      <c r="O300" s="13" t="s">
        <v>2496</v>
      </c>
      <c r="P300" s="13"/>
      <c r="Q300" s="13" t="s">
        <v>2413</v>
      </c>
      <c r="R300" s="13"/>
      <c r="S300" s="13" t="s">
        <v>2413</v>
      </c>
      <c r="T300" s="13"/>
      <c r="U300" s="20" t="s">
        <v>2414</v>
      </c>
    </row>
    <row r="301" spans="1:21" ht="15.75" customHeight="1" x14ac:dyDescent="0.2">
      <c r="A301" s="26" t="s">
        <v>916</v>
      </c>
      <c r="B301" s="13" t="s">
        <v>917</v>
      </c>
      <c r="C301" s="13">
        <v>1</v>
      </c>
      <c r="D301" s="13"/>
      <c r="E301" s="13" t="s">
        <v>2695</v>
      </c>
      <c r="F301" s="13"/>
      <c r="G301" s="13" t="s">
        <v>2454</v>
      </c>
      <c r="H301" s="20"/>
      <c r="I301" s="13" t="s">
        <v>2543</v>
      </c>
      <c r="J301" s="13"/>
      <c r="K301" s="13" t="s">
        <v>2543</v>
      </c>
      <c r="L301" s="13"/>
      <c r="M301" s="13" t="s">
        <v>2316</v>
      </c>
      <c r="N301" s="13"/>
      <c r="O301" s="13" t="s">
        <v>2496</v>
      </c>
      <c r="P301" s="13"/>
      <c r="Q301" s="13" t="s">
        <v>2413</v>
      </c>
      <c r="R301" s="13"/>
      <c r="S301" s="13" t="s">
        <v>2413</v>
      </c>
      <c r="T301" s="13"/>
      <c r="U301" s="20" t="s">
        <v>2414</v>
      </c>
    </row>
    <row r="302" spans="1:21" ht="15.75" customHeight="1" x14ac:dyDescent="0.2">
      <c r="A302" s="26" t="s">
        <v>134</v>
      </c>
      <c r="B302" s="13" t="s">
        <v>777</v>
      </c>
      <c r="C302" s="13">
        <v>4</v>
      </c>
      <c r="D302" s="13"/>
      <c r="E302" s="13" t="s">
        <v>2078</v>
      </c>
      <c r="F302" s="13"/>
      <c r="G302" s="13" t="s">
        <v>2454</v>
      </c>
      <c r="H302" s="20"/>
      <c r="I302" s="13" t="s">
        <v>2543</v>
      </c>
      <c r="J302" s="13"/>
      <c r="K302" s="13" t="s">
        <v>2543</v>
      </c>
      <c r="L302" s="13"/>
      <c r="M302" s="13" t="s">
        <v>2316</v>
      </c>
      <c r="N302" s="13"/>
      <c r="O302" s="13" t="s">
        <v>2496</v>
      </c>
      <c r="P302" s="13"/>
      <c r="Q302" s="13" t="s">
        <v>2413</v>
      </c>
      <c r="R302" s="13"/>
      <c r="S302" s="13" t="s">
        <v>2413</v>
      </c>
      <c r="T302" s="13"/>
      <c r="U302" s="20" t="s">
        <v>2414</v>
      </c>
    </row>
    <row r="303" spans="1:21" ht="15.75" customHeight="1" x14ac:dyDescent="0.2">
      <c r="A303" s="26" t="s">
        <v>894</v>
      </c>
      <c r="B303" s="13" t="s">
        <v>895</v>
      </c>
      <c r="C303" s="13">
        <v>2</v>
      </c>
      <c r="D303" s="13"/>
      <c r="E303" s="13" t="s">
        <v>2078</v>
      </c>
      <c r="F303" s="13"/>
      <c r="G303" s="13" t="s">
        <v>2454</v>
      </c>
      <c r="H303" s="20"/>
      <c r="I303" s="13" t="s">
        <v>2543</v>
      </c>
      <c r="J303" s="13"/>
      <c r="K303" s="13" t="s">
        <v>2543</v>
      </c>
      <c r="L303" s="13"/>
      <c r="M303" s="13" t="s">
        <v>2316</v>
      </c>
      <c r="N303" s="13"/>
      <c r="O303" s="13" t="s">
        <v>2496</v>
      </c>
      <c r="P303" s="13"/>
      <c r="Q303" s="13" t="s">
        <v>2413</v>
      </c>
      <c r="R303" s="13"/>
      <c r="S303" s="13" t="s">
        <v>2413</v>
      </c>
      <c r="T303" s="13"/>
      <c r="U303" s="20" t="s">
        <v>2414</v>
      </c>
    </row>
    <row r="304" spans="1:21" ht="15.75" customHeight="1" x14ac:dyDescent="0.2">
      <c r="A304" s="26" t="s">
        <v>921</v>
      </c>
      <c r="B304" s="13" t="s">
        <v>922</v>
      </c>
      <c r="C304" s="13">
        <v>3</v>
      </c>
      <c r="D304" s="13"/>
      <c r="E304" s="13" t="s">
        <v>2554</v>
      </c>
      <c r="F304" s="13"/>
      <c r="G304" s="13" t="s">
        <v>2555</v>
      </c>
      <c r="H304" s="20"/>
      <c r="I304" s="13" t="s">
        <v>2543</v>
      </c>
      <c r="J304" s="13"/>
      <c r="K304" s="13" t="s">
        <v>2543</v>
      </c>
      <c r="L304" s="13"/>
      <c r="M304" s="13" t="s">
        <v>2316</v>
      </c>
      <c r="N304" s="13"/>
      <c r="O304" s="13" t="s">
        <v>2496</v>
      </c>
      <c r="P304" s="13"/>
      <c r="Q304" s="13" t="s">
        <v>2413</v>
      </c>
      <c r="R304" s="13"/>
      <c r="S304" s="13" t="s">
        <v>2413</v>
      </c>
      <c r="T304" s="13"/>
      <c r="U304" s="20" t="s">
        <v>2414</v>
      </c>
    </row>
    <row r="305" spans="1:21" ht="15.75" customHeight="1" x14ac:dyDescent="0.2">
      <c r="A305" s="26" t="s">
        <v>955</v>
      </c>
      <c r="B305" s="13" t="s">
        <v>956</v>
      </c>
      <c r="C305" s="13">
        <v>4</v>
      </c>
      <c r="D305" s="13"/>
      <c r="E305" s="13" t="s">
        <v>2078</v>
      </c>
      <c r="F305" s="13"/>
      <c r="G305" s="13" t="s">
        <v>2078</v>
      </c>
      <c r="H305" s="20"/>
      <c r="I305" s="13" t="s">
        <v>2543</v>
      </c>
      <c r="J305" s="13"/>
      <c r="K305" s="13" t="s">
        <v>2543</v>
      </c>
      <c r="L305" s="13"/>
      <c r="M305" s="13" t="s">
        <v>2316</v>
      </c>
      <c r="N305" s="13"/>
      <c r="O305" s="13" t="s">
        <v>2496</v>
      </c>
      <c r="P305" s="13"/>
      <c r="Q305" s="13" t="s">
        <v>2413</v>
      </c>
      <c r="R305" s="13"/>
      <c r="S305" s="13" t="s">
        <v>2413</v>
      </c>
      <c r="T305" s="13"/>
      <c r="U305" s="20" t="s">
        <v>2414</v>
      </c>
    </row>
    <row r="306" spans="1:21" ht="15.75" customHeight="1" x14ac:dyDescent="0.2">
      <c r="A306" s="26" t="s">
        <v>669</v>
      </c>
      <c r="B306" s="13" t="s">
        <v>670</v>
      </c>
      <c r="C306" s="13">
        <v>2</v>
      </c>
      <c r="D306" s="13"/>
      <c r="E306" s="13" t="s">
        <v>2078</v>
      </c>
      <c r="F306" s="13"/>
      <c r="G306" s="13" t="s">
        <v>2078</v>
      </c>
      <c r="H306" s="20"/>
      <c r="I306" s="13" t="s">
        <v>2543</v>
      </c>
      <c r="J306" s="13"/>
      <c r="K306" s="13" t="s">
        <v>2543</v>
      </c>
      <c r="L306" s="13"/>
      <c r="M306" s="13" t="s">
        <v>2316</v>
      </c>
      <c r="N306" s="13"/>
      <c r="O306" s="13" t="s">
        <v>2496</v>
      </c>
      <c r="P306" s="13"/>
      <c r="Q306" s="13" t="s">
        <v>2413</v>
      </c>
      <c r="R306" s="13"/>
      <c r="S306" s="13" t="s">
        <v>2413</v>
      </c>
      <c r="T306" s="13"/>
      <c r="U306" s="20" t="s">
        <v>2414</v>
      </c>
    </row>
    <row r="307" spans="1:21" ht="15.75" customHeight="1" x14ac:dyDescent="0.2">
      <c r="A307" s="26" t="s">
        <v>1204</v>
      </c>
      <c r="B307" s="13" t="s">
        <v>1205</v>
      </c>
      <c r="C307" s="13">
        <v>7</v>
      </c>
      <c r="D307" s="13"/>
      <c r="E307" s="13" t="s">
        <v>2078</v>
      </c>
      <c r="F307" s="13"/>
      <c r="G307" s="13" t="s">
        <v>2078</v>
      </c>
      <c r="H307" s="20"/>
      <c r="I307" s="13" t="s">
        <v>2594</v>
      </c>
      <c r="J307" s="13"/>
      <c r="K307" s="13" t="s">
        <v>2594</v>
      </c>
      <c r="L307" s="13"/>
      <c r="M307" s="13" t="s">
        <v>2496</v>
      </c>
      <c r="N307" s="13"/>
      <c r="O307" s="13" t="s">
        <v>2496</v>
      </c>
      <c r="P307" s="13"/>
      <c r="Q307" s="13" t="s">
        <v>2413</v>
      </c>
      <c r="R307" s="13"/>
      <c r="S307" s="13" t="s">
        <v>2413</v>
      </c>
      <c r="T307" s="13"/>
      <c r="U307" s="20" t="s">
        <v>2414</v>
      </c>
    </row>
    <row r="308" spans="1:21" ht="15.75" customHeight="1" x14ac:dyDescent="0.2">
      <c r="A308" s="26" t="s">
        <v>1881</v>
      </c>
      <c r="B308" s="13" t="s">
        <v>1882</v>
      </c>
      <c r="C308" s="13">
        <v>7</v>
      </c>
      <c r="D308" s="13"/>
      <c r="E308" s="13" t="s">
        <v>2669</v>
      </c>
      <c r="F308" s="13"/>
      <c r="G308" s="20" t="s">
        <v>2669</v>
      </c>
      <c r="H308" s="20"/>
      <c r="I308" s="13" t="s">
        <v>2543</v>
      </c>
      <c r="J308" s="13"/>
      <c r="K308" s="13" t="s">
        <v>2543</v>
      </c>
      <c r="L308" s="13"/>
      <c r="M308" s="13" t="s">
        <v>2316</v>
      </c>
      <c r="N308" s="13"/>
      <c r="O308" s="13" t="s">
        <v>2496</v>
      </c>
      <c r="P308" s="13"/>
      <c r="Q308" s="13" t="s">
        <v>2413</v>
      </c>
      <c r="R308" s="13"/>
      <c r="S308" s="13" t="s">
        <v>2413</v>
      </c>
      <c r="T308" s="13"/>
      <c r="U308" s="20" t="s">
        <v>2414</v>
      </c>
    </row>
    <row r="309" spans="1:21" ht="15.75" customHeight="1" x14ac:dyDescent="0.2">
      <c r="A309" s="26" t="s">
        <v>1901</v>
      </c>
      <c r="B309" s="13"/>
      <c r="C309" s="13">
        <v>2</v>
      </c>
      <c r="D309" s="13"/>
      <c r="E309" s="13"/>
      <c r="F309" s="13"/>
      <c r="G309" s="13"/>
      <c r="H309" s="13"/>
      <c r="I309" s="13"/>
      <c r="J309" s="13"/>
      <c r="K309" s="13"/>
      <c r="L309" s="13"/>
      <c r="M309" s="13"/>
      <c r="N309" s="13"/>
      <c r="O309" s="13"/>
      <c r="P309" s="13"/>
      <c r="Q309" s="20" t="s">
        <v>1984</v>
      </c>
      <c r="R309" s="13" t="s">
        <v>2699</v>
      </c>
      <c r="S309" s="13" t="s">
        <v>2700</v>
      </c>
      <c r="T309" s="20"/>
      <c r="U309" s="13" t="s">
        <v>2701</v>
      </c>
    </row>
    <row r="310" spans="1:21" ht="15.75" customHeight="1" x14ac:dyDescent="0.2">
      <c r="A310" s="26" t="s">
        <v>1868</v>
      </c>
      <c r="B310" s="13"/>
      <c r="C310" s="13">
        <v>2</v>
      </c>
      <c r="D310" s="13"/>
      <c r="E310" s="13"/>
      <c r="F310" s="13"/>
      <c r="G310" s="13"/>
      <c r="H310" s="13"/>
      <c r="I310" s="13"/>
      <c r="J310" s="13"/>
      <c r="K310" s="13"/>
      <c r="L310" s="13"/>
      <c r="M310" s="13"/>
      <c r="N310" s="13"/>
      <c r="O310" s="13"/>
      <c r="P310" s="13"/>
      <c r="Q310" s="13" t="s">
        <v>2702</v>
      </c>
      <c r="R310" s="13" t="s">
        <v>2703</v>
      </c>
      <c r="S310" s="13" t="s">
        <v>2704</v>
      </c>
      <c r="T310" s="13"/>
      <c r="U310" s="13" t="s">
        <v>2704</v>
      </c>
    </row>
    <row r="311" spans="1:21" ht="15.75" customHeight="1" x14ac:dyDescent="0.2">
      <c r="A311" s="26" t="s">
        <v>1468</v>
      </c>
      <c r="B311" s="13" t="s">
        <v>1469</v>
      </c>
      <c r="C311" s="13">
        <v>11</v>
      </c>
      <c r="D311" s="13"/>
      <c r="E311" s="13" t="s">
        <v>2078</v>
      </c>
      <c r="F311" s="13"/>
      <c r="G311" s="13" t="s">
        <v>2593</v>
      </c>
      <c r="H311" s="20"/>
      <c r="I311" s="13" t="s">
        <v>2543</v>
      </c>
      <c r="J311" s="13"/>
      <c r="K311" s="13" t="s">
        <v>2543</v>
      </c>
      <c r="L311" s="13"/>
      <c r="M311" s="13" t="s">
        <v>2316</v>
      </c>
      <c r="N311" s="13"/>
      <c r="O311" s="13" t="s">
        <v>2705</v>
      </c>
      <c r="P311" s="13"/>
      <c r="Q311" s="13" t="s">
        <v>2413</v>
      </c>
      <c r="R311" s="13"/>
      <c r="S311" s="13" t="s">
        <v>2413</v>
      </c>
      <c r="T311" s="13"/>
      <c r="U311" s="20" t="s">
        <v>2414</v>
      </c>
    </row>
    <row r="312" spans="1:21" ht="15.75" customHeight="1" x14ac:dyDescent="0.2">
      <c r="A312" s="26" t="s">
        <v>1040</v>
      </c>
      <c r="B312" s="13" t="s">
        <v>2706</v>
      </c>
      <c r="C312" s="13">
        <v>6</v>
      </c>
      <c r="D312" s="13"/>
      <c r="E312" s="13" t="s">
        <v>2707</v>
      </c>
      <c r="F312" s="13"/>
      <c r="G312" s="13" t="s">
        <v>2654</v>
      </c>
      <c r="H312" s="20"/>
      <c r="I312" s="13" t="s">
        <v>2543</v>
      </c>
      <c r="J312" s="13"/>
      <c r="K312" s="13" t="s">
        <v>2543</v>
      </c>
      <c r="L312" s="13"/>
      <c r="M312" s="13"/>
      <c r="N312" s="13"/>
      <c r="O312" s="13" t="s">
        <v>2666</v>
      </c>
      <c r="P312" s="13"/>
      <c r="Q312" s="13" t="s">
        <v>2659</v>
      </c>
      <c r="R312" s="13"/>
      <c r="S312" s="13" t="s">
        <v>2659</v>
      </c>
      <c r="T312" s="13"/>
      <c r="U312" s="20" t="s">
        <v>2414</v>
      </c>
    </row>
    <row r="313" spans="1:21" ht="15.75" customHeight="1" x14ac:dyDescent="0.2">
      <c r="A313" s="26" t="s">
        <v>1022</v>
      </c>
      <c r="B313" s="13" t="s">
        <v>1023</v>
      </c>
      <c r="C313" s="13">
        <v>5</v>
      </c>
      <c r="D313" s="13"/>
      <c r="E313" s="13" t="s">
        <v>1003</v>
      </c>
      <c r="F313" s="13"/>
      <c r="G313" s="20" t="s">
        <v>1003</v>
      </c>
      <c r="H313" s="20"/>
      <c r="I313" s="13" t="s">
        <v>2543</v>
      </c>
      <c r="J313" s="13"/>
      <c r="K313" s="13" t="s">
        <v>2543</v>
      </c>
      <c r="L313" s="13"/>
      <c r="M313" s="13" t="s">
        <v>2496</v>
      </c>
      <c r="N313" s="13"/>
      <c r="O313" s="13" t="s">
        <v>2496</v>
      </c>
      <c r="P313" s="13"/>
      <c r="Q313" s="13" t="s">
        <v>2413</v>
      </c>
      <c r="R313" s="13"/>
      <c r="S313" s="13" t="s">
        <v>2413</v>
      </c>
      <c r="T313" s="13"/>
      <c r="U313" s="20" t="s">
        <v>2414</v>
      </c>
    </row>
    <row r="314" spans="1:21" ht="15.75" customHeight="1" x14ac:dyDescent="0.2">
      <c r="A314" s="26" t="s">
        <v>1912</v>
      </c>
      <c r="B314" s="13" t="s">
        <v>1913</v>
      </c>
      <c r="C314" s="13">
        <v>4</v>
      </c>
      <c r="D314" s="13"/>
      <c r="E314" s="13" t="s">
        <v>2078</v>
      </c>
      <c r="F314" s="13"/>
      <c r="G314" s="13" t="s">
        <v>2454</v>
      </c>
      <c r="H314" s="20"/>
      <c r="I314" s="13" t="s">
        <v>2543</v>
      </c>
      <c r="J314" s="13"/>
      <c r="K314" s="13" t="s">
        <v>2543</v>
      </c>
      <c r="L314" s="13"/>
      <c r="M314" s="13" t="s">
        <v>2496</v>
      </c>
      <c r="N314" s="13"/>
      <c r="O314" s="13" t="s">
        <v>2496</v>
      </c>
      <c r="P314" s="13"/>
      <c r="Q314" s="13" t="s">
        <v>2413</v>
      </c>
      <c r="R314" s="13"/>
      <c r="S314" s="13" t="s">
        <v>2413</v>
      </c>
      <c r="T314" s="13"/>
      <c r="U314" s="20" t="s">
        <v>2414</v>
      </c>
    </row>
    <row r="315" spans="1:21" ht="15.75" customHeight="1" x14ac:dyDescent="0.2">
      <c r="A315" s="26" t="s">
        <v>1062</v>
      </c>
      <c r="B315" s="13" t="s">
        <v>1063</v>
      </c>
      <c r="C315" s="13">
        <v>3</v>
      </c>
      <c r="D315" s="13"/>
      <c r="E315" s="13" t="s">
        <v>2078</v>
      </c>
      <c r="F315" s="13"/>
      <c r="G315" s="13" t="s">
        <v>2454</v>
      </c>
      <c r="H315" s="20"/>
      <c r="I315" s="13" t="s">
        <v>2543</v>
      </c>
      <c r="J315" s="13"/>
      <c r="K315" s="13" t="s">
        <v>2543</v>
      </c>
      <c r="L315" s="13"/>
      <c r="M315" s="13" t="s">
        <v>2496</v>
      </c>
      <c r="N315" s="13"/>
      <c r="O315" s="13" t="s">
        <v>2496</v>
      </c>
      <c r="P315" s="13"/>
      <c r="Q315" s="13" t="s">
        <v>2413</v>
      </c>
      <c r="R315" s="13"/>
      <c r="S315" s="13" t="s">
        <v>2413</v>
      </c>
      <c r="T315" s="13"/>
      <c r="U315" s="20" t="s">
        <v>2414</v>
      </c>
    </row>
    <row r="316" spans="1:21" ht="15.75" customHeight="1" x14ac:dyDescent="0.2">
      <c r="A316" s="26" t="s">
        <v>1064</v>
      </c>
      <c r="B316" s="13" t="s">
        <v>1065</v>
      </c>
      <c r="C316" s="13">
        <v>6</v>
      </c>
      <c r="D316" s="13"/>
      <c r="E316" s="13" t="s">
        <v>2078</v>
      </c>
      <c r="F316" s="13"/>
      <c r="G316" s="13" t="s">
        <v>2454</v>
      </c>
      <c r="H316" s="20"/>
      <c r="I316" s="13" t="s">
        <v>2543</v>
      </c>
      <c r="J316" s="13"/>
      <c r="K316" s="13" t="s">
        <v>2543</v>
      </c>
      <c r="L316" s="13"/>
      <c r="M316" s="13" t="s">
        <v>2316</v>
      </c>
      <c r="N316" s="13"/>
      <c r="O316" s="13" t="s">
        <v>2496</v>
      </c>
      <c r="P316" s="13"/>
      <c r="Q316" s="13" t="s">
        <v>2413</v>
      </c>
      <c r="R316" s="13"/>
      <c r="S316" s="13" t="s">
        <v>2413</v>
      </c>
      <c r="T316" s="13"/>
      <c r="U316" s="20" t="s">
        <v>2414</v>
      </c>
    </row>
    <row r="317" spans="1:21" ht="15.75" customHeight="1" x14ac:dyDescent="0.2">
      <c r="A317" s="26" t="s">
        <v>693</v>
      </c>
      <c r="B317" s="13" t="s">
        <v>694</v>
      </c>
      <c r="C317" s="13">
        <v>3</v>
      </c>
      <c r="D317" s="13"/>
      <c r="E317" s="13" t="s">
        <v>2078</v>
      </c>
      <c r="F317" s="13"/>
      <c r="G317" s="13" t="s">
        <v>2454</v>
      </c>
      <c r="H317" s="20"/>
      <c r="I317" s="13" t="s">
        <v>2543</v>
      </c>
      <c r="J317" s="13"/>
      <c r="K317" s="13" t="s">
        <v>2543</v>
      </c>
      <c r="L317" s="13"/>
      <c r="M317" s="13" t="s">
        <v>2316</v>
      </c>
      <c r="N317" s="13"/>
      <c r="O317" s="13" t="s">
        <v>2496</v>
      </c>
      <c r="P317" s="13"/>
      <c r="Q317" s="13" t="s">
        <v>2413</v>
      </c>
      <c r="R317" s="13"/>
      <c r="S317" s="13" t="s">
        <v>2413</v>
      </c>
      <c r="T317" s="13"/>
      <c r="U317" s="20" t="s">
        <v>2414</v>
      </c>
    </row>
    <row r="318" spans="1:21" ht="15.75" customHeight="1" x14ac:dyDescent="0.2">
      <c r="A318" s="26" t="s">
        <v>1080</v>
      </c>
      <c r="B318" s="13"/>
      <c r="C318" s="13">
        <v>7</v>
      </c>
      <c r="D318" s="13"/>
      <c r="E318" s="13"/>
      <c r="F318" s="13"/>
      <c r="G318" s="20"/>
      <c r="H318" s="20"/>
      <c r="I318" s="13"/>
      <c r="J318" s="13"/>
      <c r="K318" s="13"/>
      <c r="L318" s="13"/>
      <c r="M318" s="13" t="s">
        <v>2675</v>
      </c>
      <c r="N318" s="13" t="s">
        <v>2185</v>
      </c>
      <c r="O318" s="13"/>
      <c r="P318" s="13" t="s">
        <v>2708</v>
      </c>
      <c r="Q318" s="13"/>
      <c r="R318" s="20" t="s">
        <v>1992</v>
      </c>
      <c r="S318" s="13"/>
      <c r="T318" s="20" t="s">
        <v>1992</v>
      </c>
      <c r="U318" s="20"/>
    </row>
    <row r="319" spans="1:21" ht="15.75" customHeight="1" x14ac:dyDescent="0.2">
      <c r="A319" s="26" t="s">
        <v>1074</v>
      </c>
      <c r="B319" s="13" t="s">
        <v>1075</v>
      </c>
      <c r="C319" s="32">
        <v>5</v>
      </c>
      <c r="D319" s="32"/>
      <c r="E319" s="13" t="s">
        <v>2078</v>
      </c>
      <c r="F319" s="13"/>
      <c r="G319" s="13" t="s">
        <v>2454</v>
      </c>
      <c r="H319" s="20"/>
      <c r="I319" s="13" t="s">
        <v>2543</v>
      </c>
      <c r="J319" s="13"/>
      <c r="K319" s="13" t="s">
        <v>2543</v>
      </c>
      <c r="L319" s="13"/>
      <c r="M319" s="13" t="s">
        <v>2496</v>
      </c>
      <c r="N319" s="13"/>
      <c r="O319" s="13" t="s">
        <v>2496</v>
      </c>
      <c r="P319" s="13"/>
      <c r="Q319" s="13" t="s">
        <v>2413</v>
      </c>
      <c r="R319" s="13"/>
      <c r="S319" s="13" t="s">
        <v>2413</v>
      </c>
      <c r="T319" s="13"/>
      <c r="U319" s="20" t="s">
        <v>2414</v>
      </c>
    </row>
    <row r="320" spans="1:21" ht="15.75" customHeight="1" x14ac:dyDescent="0.2">
      <c r="A320" s="26" t="s">
        <v>1893</v>
      </c>
      <c r="B320" s="13" t="s">
        <v>1894</v>
      </c>
      <c r="C320" s="13">
        <v>6</v>
      </c>
      <c r="D320" s="13"/>
      <c r="E320" s="13" t="s">
        <v>2078</v>
      </c>
      <c r="F320" s="13"/>
      <c r="G320" s="13" t="s">
        <v>2078</v>
      </c>
      <c r="H320" s="20"/>
      <c r="I320" s="13" t="s">
        <v>2594</v>
      </c>
      <c r="J320" s="13"/>
      <c r="K320" s="13" t="s">
        <v>2594</v>
      </c>
      <c r="L320" s="13"/>
      <c r="M320" s="13" t="s">
        <v>2689</v>
      </c>
      <c r="N320" s="13"/>
      <c r="O320" s="13" t="s">
        <v>2689</v>
      </c>
      <c r="P320" s="13"/>
      <c r="Q320" s="13" t="s">
        <v>2625</v>
      </c>
      <c r="R320" s="13"/>
      <c r="S320" s="13" t="s">
        <v>2625</v>
      </c>
      <c r="T320" s="13"/>
      <c r="U320" s="13" t="s">
        <v>2709</v>
      </c>
    </row>
    <row r="321" spans="1:21" ht="15.75" customHeight="1" x14ac:dyDescent="0.2">
      <c r="A321" s="26" t="s">
        <v>1020</v>
      </c>
      <c r="B321" s="13" t="s">
        <v>1021</v>
      </c>
      <c r="C321" s="13">
        <v>7</v>
      </c>
      <c r="D321" s="13"/>
      <c r="E321" s="13" t="s">
        <v>2078</v>
      </c>
      <c r="F321" s="13"/>
      <c r="G321" s="13" t="s">
        <v>2710</v>
      </c>
      <c r="H321" s="20"/>
      <c r="I321" s="13" t="s">
        <v>2543</v>
      </c>
      <c r="J321" s="13"/>
      <c r="K321" s="13" t="s">
        <v>2398</v>
      </c>
      <c r="L321" s="13"/>
      <c r="M321" s="13" t="s">
        <v>2398</v>
      </c>
      <c r="N321" s="13"/>
      <c r="O321" s="13" t="s">
        <v>2496</v>
      </c>
      <c r="P321" s="13"/>
      <c r="Q321" s="13" t="s">
        <v>2667</v>
      </c>
      <c r="R321" s="13"/>
      <c r="S321" s="13" t="s">
        <v>2667</v>
      </c>
      <c r="T321" s="13"/>
      <c r="U321" s="13" t="s">
        <v>2709</v>
      </c>
    </row>
    <row r="322" spans="1:21" ht="15.75" customHeight="1" x14ac:dyDescent="0.2">
      <c r="A322" s="33" t="s">
        <v>1228</v>
      </c>
      <c r="B322" s="13" t="s">
        <v>1229</v>
      </c>
      <c r="C322" s="13" t="s">
        <v>291</v>
      </c>
      <c r="D322" s="13"/>
      <c r="E322" s="13"/>
      <c r="F322" s="13" t="s">
        <v>2711</v>
      </c>
      <c r="G322" s="13" t="s">
        <v>2679</v>
      </c>
      <c r="H322" s="13"/>
      <c r="I322" s="13" t="s">
        <v>2712</v>
      </c>
      <c r="J322" s="13"/>
      <c r="K322" s="20" t="s">
        <v>2713</v>
      </c>
      <c r="L322" s="13" t="s">
        <v>2714</v>
      </c>
      <c r="M322" s="13"/>
      <c r="N322" s="13" t="s">
        <v>2715</v>
      </c>
      <c r="O322" s="13" t="s">
        <v>2716</v>
      </c>
      <c r="P322" s="13"/>
      <c r="Q322" s="13" t="s">
        <v>2717</v>
      </c>
      <c r="R322" s="13"/>
      <c r="S322" s="13"/>
      <c r="T322" s="13"/>
      <c r="U322" s="13"/>
    </row>
    <row r="323" spans="1:21" ht="15.75" customHeight="1" x14ac:dyDescent="0.2">
      <c r="A323" s="33" t="s">
        <v>1230</v>
      </c>
      <c r="B323" s="13" t="s">
        <v>1231</v>
      </c>
      <c r="C323" s="13" t="s">
        <v>291</v>
      </c>
      <c r="D323" s="13"/>
      <c r="E323" s="13"/>
      <c r="F323" s="13"/>
      <c r="G323" s="13" t="s">
        <v>2176</v>
      </c>
      <c r="H323" s="13"/>
      <c r="I323" s="13" t="s">
        <v>2718</v>
      </c>
      <c r="J323" s="13"/>
      <c r="K323" s="20" t="s">
        <v>2713</v>
      </c>
      <c r="L323" s="13" t="s">
        <v>2714</v>
      </c>
      <c r="M323" s="20"/>
      <c r="N323" s="13" t="s">
        <v>2715</v>
      </c>
      <c r="O323" s="13" t="s">
        <v>2719</v>
      </c>
      <c r="P323" s="13"/>
      <c r="Q323" s="13" t="s">
        <v>2717</v>
      </c>
      <c r="R323" s="13"/>
      <c r="S323" s="13"/>
      <c r="T323" s="13"/>
      <c r="U323" s="13"/>
    </row>
    <row r="324" spans="1:21" ht="15.75" customHeight="1" x14ac:dyDescent="0.2">
      <c r="A324" s="33" t="s">
        <v>1232</v>
      </c>
      <c r="B324" s="13" t="s">
        <v>1233</v>
      </c>
      <c r="C324" s="13" t="s">
        <v>291</v>
      </c>
      <c r="D324" s="13"/>
      <c r="E324" s="13"/>
      <c r="F324" s="13"/>
      <c r="G324" s="13" t="s">
        <v>2720</v>
      </c>
      <c r="H324" s="13"/>
      <c r="I324" s="13" t="s">
        <v>2721</v>
      </c>
      <c r="J324" s="13"/>
      <c r="K324" s="20" t="s">
        <v>2722</v>
      </c>
      <c r="L324" s="13" t="s">
        <v>2723</v>
      </c>
      <c r="M324" s="20"/>
      <c r="N324" s="13" t="s">
        <v>2715</v>
      </c>
      <c r="O324" s="13" t="s">
        <v>2724</v>
      </c>
      <c r="P324" s="13"/>
      <c r="Q324" s="13" t="s">
        <v>2717</v>
      </c>
      <c r="R324" s="13"/>
      <c r="S324" s="13"/>
      <c r="T324" s="13"/>
      <c r="U324" s="13"/>
    </row>
    <row r="325" spans="1:21" ht="15.75" customHeight="1" x14ac:dyDescent="0.2">
      <c r="A325" s="33" t="s">
        <v>1234</v>
      </c>
      <c r="B325" s="13" t="s">
        <v>1235</v>
      </c>
      <c r="C325" s="13" t="s">
        <v>291</v>
      </c>
      <c r="D325" s="13"/>
      <c r="E325" s="13"/>
      <c r="F325" s="13"/>
      <c r="G325" s="13"/>
      <c r="H325" s="20"/>
      <c r="I325" s="20" t="s">
        <v>2725</v>
      </c>
      <c r="J325" s="13"/>
      <c r="K325" s="13" t="s">
        <v>2726</v>
      </c>
      <c r="L325" s="13" t="s">
        <v>2727</v>
      </c>
      <c r="M325" s="13" t="s">
        <v>2728</v>
      </c>
      <c r="N325" s="13" t="s">
        <v>2715</v>
      </c>
      <c r="O325" s="13" t="s">
        <v>2729</v>
      </c>
      <c r="P325" s="13"/>
      <c r="Q325" s="13" t="s">
        <v>2717</v>
      </c>
      <c r="R325" s="13"/>
      <c r="S325" s="13"/>
      <c r="T325" s="13"/>
      <c r="U325" s="13"/>
    </row>
    <row r="326" spans="1:21" ht="15.75" customHeight="1" x14ac:dyDescent="0.2">
      <c r="A326" s="33" t="s">
        <v>1236</v>
      </c>
      <c r="B326" s="13" t="s">
        <v>1237</v>
      </c>
      <c r="C326" s="13" t="s">
        <v>291</v>
      </c>
      <c r="D326" s="13"/>
      <c r="E326" s="13"/>
      <c r="F326" s="13"/>
      <c r="G326" s="13" t="s">
        <v>2730</v>
      </c>
      <c r="H326" s="20"/>
      <c r="I326" s="13" t="s">
        <v>2731</v>
      </c>
      <c r="J326" s="13"/>
      <c r="K326" s="20" t="s">
        <v>2732</v>
      </c>
      <c r="L326" s="13"/>
      <c r="M326" s="20" t="s">
        <v>2732</v>
      </c>
      <c r="N326" s="13"/>
      <c r="O326" s="13"/>
      <c r="P326" s="13"/>
      <c r="Q326" s="13"/>
      <c r="R326" s="13"/>
      <c r="S326" s="13"/>
      <c r="T326" s="13"/>
      <c r="U326" s="13"/>
    </row>
    <row r="327" spans="1:21" ht="15.75" customHeight="1" x14ac:dyDescent="0.2">
      <c r="A327" s="33" t="s">
        <v>1238</v>
      </c>
      <c r="B327" s="13" t="s">
        <v>1239</v>
      </c>
      <c r="C327" s="13" t="s">
        <v>291</v>
      </c>
      <c r="D327" s="13"/>
      <c r="E327" s="13"/>
      <c r="F327" s="13"/>
      <c r="G327" s="13" t="s">
        <v>2733</v>
      </c>
      <c r="H327" s="20"/>
      <c r="I327" s="13" t="s">
        <v>2734</v>
      </c>
      <c r="J327" s="13"/>
      <c r="K327" s="13"/>
      <c r="L327" s="13"/>
      <c r="M327" s="13"/>
      <c r="N327" s="13"/>
      <c r="O327" s="13"/>
      <c r="P327" s="13"/>
      <c r="Q327" s="13"/>
      <c r="R327" s="13"/>
      <c r="S327" s="13"/>
      <c r="T327" s="13"/>
      <c r="U327" s="13"/>
    </row>
    <row r="328" spans="1:21" ht="15.75" customHeight="1" x14ac:dyDescent="0.2">
      <c r="A328" s="33" t="s">
        <v>1240</v>
      </c>
      <c r="B328" s="13" t="s">
        <v>1241</v>
      </c>
      <c r="C328" s="13">
        <v>2</v>
      </c>
      <c r="D328" s="13"/>
      <c r="E328" s="13"/>
      <c r="F328" s="13"/>
      <c r="G328" s="20"/>
      <c r="H328" s="20"/>
      <c r="I328" s="13"/>
      <c r="J328" s="13"/>
      <c r="K328" s="13"/>
      <c r="L328" s="13"/>
      <c r="M328" s="13"/>
      <c r="N328" s="13"/>
      <c r="O328" s="13"/>
      <c r="P328" s="13"/>
      <c r="Q328" s="13"/>
      <c r="R328" s="13"/>
      <c r="S328" s="13"/>
      <c r="T328" s="13"/>
      <c r="U328" s="13"/>
    </row>
    <row r="329" spans="1:21" ht="15.75" customHeight="1" x14ac:dyDescent="0.2">
      <c r="A329" s="33" t="s">
        <v>1242</v>
      </c>
      <c r="B329" s="13" t="s">
        <v>1243</v>
      </c>
      <c r="C329" s="13" t="s">
        <v>291</v>
      </c>
      <c r="D329" s="13"/>
      <c r="E329" s="13"/>
      <c r="F329" s="13"/>
      <c r="G329" s="20"/>
      <c r="H329" s="20"/>
      <c r="I329" s="13"/>
      <c r="J329" s="13"/>
      <c r="K329" s="13"/>
      <c r="L329" s="13"/>
      <c r="M329" s="13"/>
      <c r="N329" s="13"/>
      <c r="O329" s="13"/>
      <c r="P329" s="13"/>
      <c r="Q329" s="13"/>
      <c r="R329" s="13"/>
      <c r="S329" s="13"/>
      <c r="T329" s="13"/>
      <c r="U329" s="13"/>
    </row>
    <row r="330" spans="1:21" ht="15.75" customHeight="1" x14ac:dyDescent="0.2">
      <c r="A330" s="33" t="s">
        <v>1244</v>
      </c>
      <c r="B330" s="13" t="s">
        <v>1245</v>
      </c>
      <c r="C330" s="13">
        <v>3</v>
      </c>
      <c r="D330" s="13"/>
      <c r="E330" s="13"/>
      <c r="F330" s="13"/>
      <c r="G330" s="23" t="s">
        <v>2735</v>
      </c>
      <c r="H330" s="20"/>
      <c r="I330" s="13" t="s">
        <v>2736</v>
      </c>
      <c r="J330" s="13"/>
      <c r="K330" s="13"/>
      <c r="L330" s="13"/>
      <c r="M330" s="13"/>
      <c r="N330" s="13"/>
      <c r="O330" s="13"/>
      <c r="P330" s="13"/>
      <c r="Q330" s="13"/>
      <c r="R330" s="13"/>
      <c r="S330" s="13"/>
      <c r="T330" s="13"/>
      <c r="U330" s="13"/>
    </row>
    <row r="331" spans="1:21" ht="15.75" customHeight="1" x14ac:dyDescent="0.2">
      <c r="A331" s="33" t="s">
        <v>1246</v>
      </c>
      <c r="B331" s="13" t="s">
        <v>1247</v>
      </c>
      <c r="C331" s="13" t="s">
        <v>291</v>
      </c>
      <c r="D331" s="13"/>
      <c r="E331" s="13"/>
      <c r="F331" s="13"/>
      <c r="G331" s="20"/>
      <c r="H331" s="20"/>
      <c r="I331" s="13"/>
      <c r="J331" s="13"/>
      <c r="K331" s="13"/>
      <c r="L331" s="13"/>
      <c r="M331" s="13"/>
      <c r="N331" s="13"/>
      <c r="O331" s="13"/>
      <c r="P331" s="13"/>
      <c r="Q331" s="13"/>
      <c r="R331" s="13"/>
      <c r="S331" s="13"/>
      <c r="T331" s="13"/>
      <c r="U331" s="13"/>
    </row>
    <row r="332" spans="1:21" ht="15.75" customHeight="1" x14ac:dyDescent="0.2">
      <c r="A332" s="33" t="s">
        <v>1248</v>
      </c>
      <c r="B332" s="13" t="s">
        <v>1249</v>
      </c>
      <c r="C332" s="13">
        <v>3</v>
      </c>
      <c r="D332" s="13"/>
      <c r="E332" s="13"/>
      <c r="F332" s="13"/>
      <c r="G332" s="20"/>
      <c r="H332" s="20"/>
      <c r="I332" s="13"/>
      <c r="J332" s="13"/>
      <c r="K332" s="13"/>
      <c r="L332" s="13"/>
      <c r="M332" s="13"/>
      <c r="N332" s="13"/>
      <c r="O332" s="13"/>
      <c r="P332" s="13"/>
      <c r="Q332" s="13"/>
      <c r="R332" s="13"/>
      <c r="S332" s="13"/>
      <c r="T332" s="13"/>
      <c r="U332" s="13"/>
    </row>
    <row r="333" spans="1:21" ht="15.75" customHeight="1" x14ac:dyDescent="0.2">
      <c r="A333" s="33" t="s">
        <v>1848</v>
      </c>
      <c r="B333" s="13" t="s">
        <v>1849</v>
      </c>
      <c r="C333" s="13">
        <v>7</v>
      </c>
      <c r="D333" s="13"/>
      <c r="E333" s="13"/>
      <c r="F333" s="13"/>
      <c r="G333" s="13" t="s">
        <v>2280</v>
      </c>
      <c r="H333" s="13" t="s">
        <v>2737</v>
      </c>
      <c r="I333" s="13" t="s">
        <v>2738</v>
      </c>
      <c r="J333" s="13"/>
      <c r="K333" s="13"/>
      <c r="L333" s="13" t="s">
        <v>1944</v>
      </c>
      <c r="M333" s="13"/>
      <c r="N333" s="13" t="s">
        <v>2739</v>
      </c>
      <c r="O333" s="13" t="s">
        <v>1990</v>
      </c>
      <c r="P333" s="13"/>
      <c r="Q333" s="13" t="s">
        <v>2740</v>
      </c>
      <c r="R333" s="13"/>
      <c r="S333" s="13"/>
      <c r="T333" s="13"/>
      <c r="U333" s="13"/>
    </row>
    <row r="334" spans="1:21" ht="15.75" customHeight="1" x14ac:dyDescent="0.2">
      <c r="A334" s="33" t="s">
        <v>1252</v>
      </c>
      <c r="B334" s="13" t="s">
        <v>1253</v>
      </c>
      <c r="C334" s="13" t="s">
        <v>291</v>
      </c>
      <c r="D334" s="13"/>
      <c r="E334" s="13"/>
      <c r="F334" s="13"/>
      <c r="G334" s="13" t="s">
        <v>2741</v>
      </c>
      <c r="H334" s="13" t="s">
        <v>2737</v>
      </c>
      <c r="I334" s="20" t="s">
        <v>2742</v>
      </c>
      <c r="J334" s="13"/>
      <c r="K334" s="13" t="s">
        <v>2576</v>
      </c>
      <c r="L334" s="13" t="s">
        <v>2743</v>
      </c>
      <c r="M334" s="13" t="s">
        <v>2744</v>
      </c>
      <c r="N334" s="13" t="s">
        <v>2745</v>
      </c>
      <c r="O334" s="13" t="s">
        <v>2724</v>
      </c>
      <c r="P334" s="13" t="s">
        <v>2746</v>
      </c>
      <c r="Q334" s="13" t="s">
        <v>2717</v>
      </c>
      <c r="R334" s="13"/>
      <c r="S334" s="13"/>
      <c r="T334" s="13"/>
      <c r="U334" s="13"/>
    </row>
    <row r="335" spans="1:21" ht="15.75" customHeight="1" x14ac:dyDescent="0.2">
      <c r="A335" s="33" t="s">
        <v>1254</v>
      </c>
      <c r="B335" s="13" t="s">
        <v>1255</v>
      </c>
      <c r="C335" s="13" t="s">
        <v>291</v>
      </c>
      <c r="D335" s="13"/>
      <c r="E335" s="13" t="s">
        <v>2747</v>
      </c>
      <c r="F335" s="13"/>
      <c r="G335" s="13" t="s">
        <v>2748</v>
      </c>
      <c r="H335" s="13" t="s">
        <v>2737</v>
      </c>
      <c r="I335" s="13" t="s">
        <v>1875</v>
      </c>
      <c r="J335" s="13"/>
      <c r="K335" s="13" t="s">
        <v>2576</v>
      </c>
      <c r="L335" s="13" t="s">
        <v>2749</v>
      </c>
      <c r="M335" s="13" t="s">
        <v>2744</v>
      </c>
      <c r="N335" s="13" t="s">
        <v>2750</v>
      </c>
      <c r="O335" s="13" t="s">
        <v>2719</v>
      </c>
      <c r="P335" s="13" t="s">
        <v>2751</v>
      </c>
      <c r="Q335" s="13" t="s">
        <v>2717</v>
      </c>
      <c r="R335" s="13"/>
      <c r="S335" s="13"/>
      <c r="T335" s="13"/>
      <c r="U335" s="13"/>
    </row>
    <row r="336" spans="1:21" ht="15.75" customHeight="1" x14ac:dyDescent="0.2">
      <c r="A336" s="33" t="s">
        <v>1850</v>
      </c>
      <c r="B336" s="13"/>
      <c r="C336" s="13">
        <v>1</v>
      </c>
      <c r="D336" s="13"/>
      <c r="E336" s="13"/>
      <c r="F336" s="13"/>
      <c r="G336" s="20"/>
      <c r="H336" s="20"/>
      <c r="I336" s="13"/>
      <c r="J336" s="13"/>
      <c r="K336" s="13"/>
      <c r="L336" s="13" t="s">
        <v>2752</v>
      </c>
      <c r="M336" s="13"/>
      <c r="N336" s="13" t="s">
        <v>2752</v>
      </c>
      <c r="O336" s="13" t="s">
        <v>2753</v>
      </c>
      <c r="P336" s="13" t="s">
        <v>2754</v>
      </c>
      <c r="Q336" s="13" t="s">
        <v>2717</v>
      </c>
      <c r="R336" s="13"/>
      <c r="S336" s="13"/>
      <c r="T336" s="13"/>
      <c r="U336" s="13"/>
    </row>
    <row r="337" spans="1:21" ht="15.75" customHeight="1" x14ac:dyDescent="0.2">
      <c r="A337" s="33" t="s">
        <v>1256</v>
      </c>
      <c r="B337" s="13" t="s">
        <v>1257</v>
      </c>
      <c r="C337" s="13">
        <v>2</v>
      </c>
      <c r="D337" s="13"/>
      <c r="E337" s="13"/>
      <c r="F337" s="13"/>
      <c r="G337" s="13" t="s">
        <v>2100</v>
      </c>
      <c r="H337" s="20"/>
      <c r="I337" s="13" t="s">
        <v>2100</v>
      </c>
      <c r="J337" s="13" t="s">
        <v>2755</v>
      </c>
      <c r="K337" s="13"/>
      <c r="L337" s="13" t="s">
        <v>2755</v>
      </c>
      <c r="M337" s="13"/>
      <c r="N337" s="13" t="s">
        <v>2234</v>
      </c>
      <c r="O337" s="13"/>
      <c r="P337" s="13" t="s">
        <v>2756</v>
      </c>
      <c r="Q337" s="13"/>
      <c r="R337" s="13" t="s">
        <v>2756</v>
      </c>
      <c r="S337" s="13"/>
      <c r="T337" s="13"/>
      <c r="U337" s="13"/>
    </row>
    <row r="338" spans="1:21" ht="15.75" customHeight="1" x14ac:dyDescent="0.2">
      <c r="A338" s="33" t="s">
        <v>1523</v>
      </c>
      <c r="B338" s="13" t="s">
        <v>1524</v>
      </c>
      <c r="C338" s="13">
        <v>5</v>
      </c>
      <c r="D338" s="13"/>
      <c r="E338" s="13"/>
      <c r="F338" s="13" t="s">
        <v>1955</v>
      </c>
      <c r="G338" s="13"/>
      <c r="H338" s="13" t="s">
        <v>1955</v>
      </c>
      <c r="I338" s="13"/>
      <c r="J338" s="20" t="s">
        <v>2757</v>
      </c>
      <c r="K338" s="13"/>
      <c r="L338" s="13" t="s">
        <v>2758</v>
      </c>
      <c r="M338" s="13"/>
      <c r="N338" s="13" t="s">
        <v>2083</v>
      </c>
      <c r="O338" s="13"/>
      <c r="P338" s="13" t="s">
        <v>2083</v>
      </c>
      <c r="Q338" s="13"/>
      <c r="R338" s="13"/>
      <c r="S338" s="13"/>
      <c r="T338" s="13"/>
      <c r="U338" s="13"/>
    </row>
    <row r="339" spans="1:21" ht="15.75" customHeight="1" x14ac:dyDescent="0.2">
      <c r="A339" s="33" t="s">
        <v>1258</v>
      </c>
      <c r="B339" s="13" t="s">
        <v>1259</v>
      </c>
      <c r="C339" s="13">
        <v>1</v>
      </c>
      <c r="D339" s="13"/>
      <c r="E339" s="20" t="s">
        <v>2374</v>
      </c>
      <c r="F339" s="20"/>
      <c r="G339" s="13" t="s">
        <v>2343</v>
      </c>
      <c r="H339" s="20"/>
      <c r="I339" s="13" t="s">
        <v>2759</v>
      </c>
      <c r="J339" s="13"/>
      <c r="K339" s="13" t="s">
        <v>2369</v>
      </c>
      <c r="L339" s="13"/>
      <c r="M339" s="13" t="s">
        <v>2369</v>
      </c>
      <c r="N339" s="13"/>
      <c r="O339" s="13"/>
      <c r="P339" s="13"/>
      <c r="Q339" s="13"/>
      <c r="R339" s="13"/>
      <c r="S339" s="13"/>
      <c r="T339" s="13"/>
      <c r="U339" s="13"/>
    </row>
    <row r="340" spans="1:21" ht="15.75" customHeight="1" x14ac:dyDescent="0.2">
      <c r="A340" s="33" t="s">
        <v>1260</v>
      </c>
      <c r="B340" s="13">
        <v>4779</v>
      </c>
      <c r="C340" s="13" t="s">
        <v>291</v>
      </c>
      <c r="D340" s="13"/>
      <c r="E340" s="13"/>
      <c r="F340" s="13"/>
      <c r="G340" s="13" t="s">
        <v>2760</v>
      </c>
      <c r="H340" s="20"/>
      <c r="I340" s="13" t="s">
        <v>2760</v>
      </c>
      <c r="J340" s="13"/>
      <c r="K340" s="13"/>
      <c r="L340" s="13"/>
      <c r="M340" s="13"/>
      <c r="N340" s="13"/>
      <c r="O340" s="13"/>
      <c r="P340" s="13"/>
      <c r="Q340" s="13"/>
      <c r="R340" s="13"/>
      <c r="S340" s="13"/>
      <c r="T340" s="13"/>
      <c r="U340" s="13"/>
    </row>
    <row r="341" spans="1:21" ht="15.75" customHeight="1" x14ac:dyDescent="0.2">
      <c r="A341" s="33" t="s">
        <v>1634</v>
      </c>
      <c r="B341" s="13" t="s">
        <v>1635</v>
      </c>
      <c r="C341" s="13">
        <v>7</v>
      </c>
      <c r="D341" s="13"/>
      <c r="E341" s="13"/>
      <c r="F341" s="13" t="s">
        <v>881</v>
      </c>
      <c r="G341" s="20"/>
      <c r="H341" s="13" t="s">
        <v>881</v>
      </c>
      <c r="I341" s="13"/>
      <c r="J341" s="13" t="s">
        <v>881</v>
      </c>
      <c r="K341" s="13"/>
      <c r="L341" s="13"/>
      <c r="M341" s="13"/>
      <c r="N341" s="13"/>
      <c r="O341" s="13"/>
      <c r="P341" s="13"/>
      <c r="Q341" s="13"/>
      <c r="R341" s="13"/>
      <c r="S341" s="13"/>
      <c r="T341" s="13"/>
      <c r="U341" s="13"/>
    </row>
    <row r="342" spans="1:21" ht="15.75" customHeight="1" x14ac:dyDescent="0.2">
      <c r="A342" s="33" t="s">
        <v>1261</v>
      </c>
      <c r="B342" s="13" t="s">
        <v>1262</v>
      </c>
      <c r="C342" s="13">
        <v>2</v>
      </c>
      <c r="D342" s="13"/>
      <c r="E342" s="13"/>
      <c r="F342" s="20" t="s">
        <v>2761</v>
      </c>
      <c r="G342" s="20"/>
      <c r="H342" s="13" t="s">
        <v>2762</v>
      </c>
      <c r="I342" s="13"/>
      <c r="J342" s="13"/>
      <c r="K342" s="13"/>
      <c r="L342" s="13"/>
      <c r="M342" s="13"/>
      <c r="N342" s="13"/>
      <c r="O342" s="13"/>
      <c r="P342" s="13"/>
      <c r="Q342" s="13"/>
      <c r="R342" s="13"/>
      <c r="S342" s="13"/>
      <c r="T342" s="13"/>
      <c r="U342" s="13"/>
    </row>
    <row r="343" spans="1:21" ht="15.75" customHeight="1" x14ac:dyDescent="0.2">
      <c r="A343" s="33" t="s">
        <v>1263</v>
      </c>
      <c r="B343" s="13" t="s">
        <v>1264</v>
      </c>
      <c r="C343" s="13">
        <v>1</v>
      </c>
      <c r="D343" s="13"/>
      <c r="E343" s="13" t="s">
        <v>2763</v>
      </c>
      <c r="F343" s="13"/>
      <c r="G343" s="13" t="s">
        <v>2764</v>
      </c>
      <c r="H343" s="20"/>
      <c r="I343" s="13" t="s">
        <v>2764</v>
      </c>
      <c r="J343" s="13"/>
      <c r="K343" s="13"/>
      <c r="L343" s="13"/>
      <c r="M343" s="13"/>
      <c r="N343" s="13"/>
      <c r="O343" s="13"/>
      <c r="P343" s="13"/>
      <c r="Q343" s="13"/>
      <c r="R343" s="13"/>
      <c r="S343" s="13"/>
      <c r="T343" s="13"/>
      <c r="U343" s="13"/>
    </row>
    <row r="344" spans="1:21" ht="15.75" customHeight="1" x14ac:dyDescent="0.2">
      <c r="A344" s="33" t="s">
        <v>1265</v>
      </c>
      <c r="B344" s="13" t="s">
        <v>1266</v>
      </c>
      <c r="C344" s="13">
        <v>1</v>
      </c>
      <c r="D344" s="13"/>
      <c r="E344" s="13" t="s">
        <v>2765</v>
      </c>
      <c r="F344" s="13"/>
      <c r="G344" s="13" t="s">
        <v>2766</v>
      </c>
      <c r="H344" s="20"/>
      <c r="I344" s="13" t="s">
        <v>2767</v>
      </c>
      <c r="J344" s="13"/>
      <c r="K344" s="13"/>
      <c r="L344" s="13"/>
      <c r="M344" s="13"/>
      <c r="N344" s="13"/>
      <c r="O344" s="13"/>
      <c r="P344" s="13"/>
      <c r="Q344" s="13"/>
      <c r="R344" s="13"/>
      <c r="S344" s="13"/>
      <c r="T344" s="13"/>
      <c r="U344" s="13"/>
    </row>
    <row r="345" spans="1:21" ht="15.75" customHeight="1" x14ac:dyDescent="0.2">
      <c r="A345" s="33" t="s">
        <v>1738</v>
      </c>
      <c r="B345" s="34" t="s">
        <v>1739</v>
      </c>
      <c r="C345" s="13">
        <v>1</v>
      </c>
      <c r="D345" s="13"/>
      <c r="E345" s="13" t="s">
        <v>2768</v>
      </c>
      <c r="F345" s="13"/>
      <c r="G345" s="13" t="s">
        <v>2769</v>
      </c>
      <c r="H345" s="20"/>
      <c r="I345" s="13" t="s">
        <v>2769</v>
      </c>
      <c r="J345" s="13"/>
      <c r="K345" s="13"/>
      <c r="L345" s="13"/>
      <c r="M345" s="13"/>
      <c r="N345" s="13"/>
      <c r="O345" s="13"/>
      <c r="P345" s="13"/>
      <c r="Q345" s="13"/>
      <c r="R345" s="13"/>
      <c r="S345" s="13"/>
      <c r="T345" s="13"/>
      <c r="U345" s="13"/>
    </row>
    <row r="346" spans="1:21" ht="15.75" customHeight="1" x14ac:dyDescent="0.2">
      <c r="A346" s="33" t="s">
        <v>1267</v>
      </c>
      <c r="B346" s="13" t="s">
        <v>1268</v>
      </c>
      <c r="C346" s="13">
        <v>1</v>
      </c>
      <c r="D346" s="13"/>
      <c r="E346" s="13"/>
      <c r="F346" s="13" t="s">
        <v>2101</v>
      </c>
      <c r="G346" s="20"/>
      <c r="H346" s="20" t="s">
        <v>2103</v>
      </c>
      <c r="I346" s="13"/>
      <c r="J346" s="20" t="s">
        <v>2103</v>
      </c>
      <c r="K346" s="20"/>
      <c r="L346" s="20"/>
      <c r="M346" s="13"/>
      <c r="N346" s="13"/>
      <c r="O346" s="13"/>
      <c r="P346" s="13"/>
      <c r="Q346" s="13"/>
      <c r="R346" s="13"/>
      <c r="S346" s="13"/>
      <c r="T346" s="13"/>
      <c r="U346" s="13"/>
    </row>
    <row r="347" spans="1:21" ht="15.75" customHeight="1" x14ac:dyDescent="0.2">
      <c r="A347" s="33" t="s">
        <v>1525</v>
      </c>
      <c r="B347" s="13" t="s">
        <v>1526</v>
      </c>
      <c r="C347" s="13">
        <v>1</v>
      </c>
      <c r="D347" s="13"/>
      <c r="E347" s="13"/>
      <c r="F347" s="13"/>
      <c r="G347" s="20"/>
      <c r="H347" s="20"/>
      <c r="I347" s="13"/>
      <c r="J347" s="13"/>
      <c r="K347" s="13"/>
      <c r="L347" s="13"/>
      <c r="M347" s="13"/>
      <c r="N347" s="13"/>
      <c r="O347" s="13"/>
      <c r="P347" s="13"/>
      <c r="Q347" s="13"/>
      <c r="R347" s="13"/>
      <c r="S347" s="13"/>
      <c r="T347" s="13"/>
      <c r="U347" s="13"/>
    </row>
    <row r="348" spans="1:21" ht="15.75" customHeight="1" x14ac:dyDescent="0.2">
      <c r="A348" s="33" t="s">
        <v>1269</v>
      </c>
      <c r="B348" s="13" t="s">
        <v>1270</v>
      </c>
      <c r="C348" s="13">
        <v>2</v>
      </c>
      <c r="D348" s="13"/>
      <c r="E348" s="13"/>
      <c r="F348" s="13"/>
      <c r="G348" s="20"/>
      <c r="H348" s="20"/>
      <c r="I348" s="13"/>
      <c r="J348" s="13"/>
      <c r="K348" s="13"/>
      <c r="L348" s="13"/>
      <c r="M348" s="13"/>
      <c r="N348" s="13"/>
      <c r="O348" s="13"/>
      <c r="P348" s="13"/>
      <c r="Q348" s="13"/>
      <c r="R348" s="13"/>
      <c r="S348" s="13"/>
      <c r="T348" s="13"/>
      <c r="U348" s="13"/>
    </row>
    <row r="349" spans="1:21" ht="15.75" customHeight="1" x14ac:dyDescent="0.2">
      <c r="A349" s="33" t="s">
        <v>1271</v>
      </c>
      <c r="B349" s="13" t="s">
        <v>1272</v>
      </c>
      <c r="C349" s="13">
        <v>1</v>
      </c>
      <c r="D349" s="13"/>
      <c r="E349" s="13"/>
      <c r="F349" s="13"/>
      <c r="G349" s="20"/>
      <c r="H349" s="20"/>
      <c r="I349" s="13"/>
      <c r="J349" s="13"/>
      <c r="K349" s="13"/>
      <c r="L349" s="13"/>
      <c r="M349" s="13"/>
      <c r="N349" s="13"/>
      <c r="O349" s="13"/>
      <c r="P349" s="13"/>
      <c r="Q349" s="13"/>
      <c r="R349" s="13"/>
      <c r="S349" s="13"/>
      <c r="T349" s="13"/>
      <c r="U349" s="13"/>
    </row>
    <row r="350" spans="1:21" ht="15.75" customHeight="1" x14ac:dyDescent="0.2">
      <c r="A350" s="33" t="s">
        <v>88</v>
      </c>
      <c r="B350" s="13" t="s">
        <v>1527</v>
      </c>
      <c r="C350" s="13">
        <v>5</v>
      </c>
      <c r="D350" s="13"/>
      <c r="E350" s="13"/>
      <c r="F350" s="13"/>
      <c r="G350" s="20"/>
      <c r="H350" s="20"/>
      <c r="I350" s="13"/>
      <c r="J350" s="13"/>
      <c r="K350" s="13"/>
      <c r="L350" s="13"/>
      <c r="M350" s="13"/>
      <c r="N350" s="13"/>
      <c r="O350" s="13"/>
      <c r="P350" s="13"/>
      <c r="Q350" s="13"/>
      <c r="R350" s="13"/>
      <c r="S350" s="13"/>
      <c r="T350" s="13"/>
      <c r="U350" s="13"/>
    </row>
    <row r="351" spans="1:21" ht="15.75" customHeight="1" x14ac:dyDescent="0.2">
      <c r="A351" s="33" t="s">
        <v>1273</v>
      </c>
      <c r="B351" s="13" t="s">
        <v>1274</v>
      </c>
      <c r="C351" s="13">
        <v>2</v>
      </c>
      <c r="D351" s="13"/>
      <c r="E351" s="13"/>
      <c r="F351" s="13"/>
      <c r="G351" s="20"/>
      <c r="H351" s="20"/>
      <c r="I351" s="13"/>
      <c r="J351" s="13"/>
      <c r="K351" s="13"/>
      <c r="L351" s="13"/>
      <c r="M351" s="13"/>
      <c r="N351" s="13"/>
      <c r="O351" s="13"/>
      <c r="P351" s="13"/>
      <c r="Q351" s="13"/>
      <c r="R351" s="13"/>
      <c r="S351" s="13"/>
      <c r="T351" s="13"/>
      <c r="U351" s="13"/>
    </row>
    <row r="352" spans="1:21" ht="15.75" customHeight="1" x14ac:dyDescent="0.2">
      <c r="A352" s="33" t="s">
        <v>1275</v>
      </c>
      <c r="B352" s="13" t="s">
        <v>1276</v>
      </c>
      <c r="C352" s="13">
        <v>2</v>
      </c>
      <c r="D352" s="13"/>
      <c r="E352" s="13"/>
      <c r="F352" s="13"/>
      <c r="G352" s="20"/>
      <c r="H352" s="20"/>
      <c r="I352" s="13"/>
      <c r="J352" s="13"/>
      <c r="K352" s="13"/>
      <c r="L352" s="13"/>
      <c r="M352" s="13"/>
      <c r="N352" s="13"/>
      <c r="O352" s="13"/>
      <c r="P352" s="13"/>
      <c r="Q352" s="13"/>
      <c r="R352" s="13"/>
      <c r="S352" s="13"/>
      <c r="T352" s="13"/>
      <c r="U352" s="13"/>
    </row>
    <row r="353" spans="1:21" ht="15.75" customHeight="1" x14ac:dyDescent="0.2">
      <c r="A353" s="33" t="s">
        <v>1609</v>
      </c>
      <c r="B353" s="13" t="s">
        <v>1610</v>
      </c>
      <c r="C353" s="13">
        <v>3</v>
      </c>
      <c r="D353" s="13"/>
      <c r="E353" s="13"/>
      <c r="F353" s="13"/>
      <c r="G353" s="20"/>
      <c r="H353" s="20"/>
      <c r="I353" s="13"/>
      <c r="J353" s="13"/>
      <c r="K353" s="13"/>
      <c r="L353" s="13"/>
      <c r="M353" s="13"/>
      <c r="N353" s="13"/>
      <c r="O353" s="13"/>
      <c r="P353" s="13"/>
      <c r="Q353" s="13"/>
      <c r="R353" s="13"/>
      <c r="S353" s="13"/>
      <c r="T353" s="13"/>
      <c r="U353" s="13"/>
    </row>
    <row r="354" spans="1:21" ht="15.75" customHeight="1" x14ac:dyDescent="0.2">
      <c r="A354" s="33" t="s">
        <v>1277</v>
      </c>
      <c r="B354" s="13" t="s">
        <v>1278</v>
      </c>
      <c r="C354" s="13">
        <v>3</v>
      </c>
      <c r="D354" s="13"/>
      <c r="E354" s="13"/>
      <c r="F354" s="13"/>
      <c r="G354" s="20"/>
      <c r="H354" s="20"/>
      <c r="I354" s="13"/>
      <c r="J354" s="13"/>
      <c r="K354" s="13"/>
      <c r="L354" s="13"/>
      <c r="M354" s="13"/>
      <c r="N354" s="13"/>
      <c r="O354" s="13"/>
      <c r="P354" s="13"/>
      <c r="Q354" s="13"/>
      <c r="R354" s="13"/>
      <c r="S354" s="13"/>
      <c r="T354" s="13"/>
      <c r="U354" s="13"/>
    </row>
    <row r="355" spans="1:21" ht="15.75" customHeight="1" x14ac:dyDescent="0.2">
      <c r="A355" s="33" t="s">
        <v>1528</v>
      </c>
      <c r="B355" s="13" t="s">
        <v>1529</v>
      </c>
      <c r="C355" s="13">
        <v>1</v>
      </c>
      <c r="D355" s="13"/>
      <c r="E355" s="13"/>
      <c r="F355" s="13"/>
      <c r="G355" s="20"/>
      <c r="H355" s="20"/>
      <c r="I355" s="13"/>
      <c r="J355" s="13"/>
      <c r="K355" s="13"/>
      <c r="L355" s="13"/>
      <c r="M355" s="13"/>
      <c r="N355" s="13"/>
      <c r="O355" s="13"/>
      <c r="P355" s="13"/>
      <c r="Q355" s="13"/>
      <c r="R355" s="13"/>
      <c r="S355" s="13"/>
      <c r="T355" s="13"/>
      <c r="U355" s="13"/>
    </row>
    <row r="356" spans="1:21" ht="15.75" customHeight="1" x14ac:dyDescent="0.2">
      <c r="A356" s="33" t="s">
        <v>38</v>
      </c>
      <c r="B356" s="13" t="s">
        <v>1530</v>
      </c>
      <c r="C356" s="13">
        <v>5</v>
      </c>
      <c r="D356" s="13"/>
      <c r="E356" s="13"/>
      <c r="F356" s="13"/>
      <c r="G356" s="20"/>
      <c r="H356" s="20"/>
      <c r="I356" s="13"/>
      <c r="J356" s="13"/>
      <c r="K356" s="13"/>
      <c r="L356" s="13"/>
      <c r="M356" s="13"/>
      <c r="N356" s="13"/>
      <c r="O356" s="13"/>
      <c r="P356" s="13"/>
      <c r="Q356" s="13"/>
      <c r="R356" s="13"/>
      <c r="S356" s="13"/>
      <c r="T356" s="13"/>
      <c r="U356" s="13"/>
    </row>
    <row r="357" spans="1:21" ht="15.75" customHeight="1" x14ac:dyDescent="0.2">
      <c r="A357" s="33" t="s">
        <v>1740</v>
      </c>
      <c r="B357" s="13" t="s">
        <v>1741</v>
      </c>
      <c r="C357" s="13">
        <v>7</v>
      </c>
      <c r="D357" s="13"/>
      <c r="E357" s="13"/>
      <c r="F357" s="13"/>
      <c r="G357" s="20"/>
      <c r="H357" s="20"/>
      <c r="I357" s="13"/>
      <c r="J357" s="13"/>
      <c r="K357" s="13"/>
      <c r="L357" s="13"/>
      <c r="M357" s="13"/>
      <c r="N357" s="13"/>
      <c r="O357" s="13"/>
      <c r="P357" s="13"/>
      <c r="Q357" s="13"/>
      <c r="R357" s="13"/>
      <c r="S357" s="13"/>
      <c r="T357" s="13"/>
      <c r="U357" s="13"/>
    </row>
    <row r="358" spans="1:21" ht="15.75" customHeight="1" x14ac:dyDescent="0.2">
      <c r="A358" s="33" t="s">
        <v>1531</v>
      </c>
      <c r="B358" s="13">
        <v>98154</v>
      </c>
      <c r="C358" s="13">
        <v>1</v>
      </c>
      <c r="D358" s="13"/>
      <c r="E358" s="13"/>
      <c r="F358" s="13"/>
      <c r="G358" s="20"/>
      <c r="H358" s="20"/>
      <c r="I358" s="13"/>
      <c r="J358" s="13"/>
      <c r="K358" s="13"/>
      <c r="L358" s="13"/>
      <c r="M358" s="13"/>
      <c r="N358" s="13"/>
      <c r="O358" s="13"/>
      <c r="P358" s="13"/>
      <c r="Q358" s="13"/>
      <c r="R358" s="13"/>
      <c r="S358" s="13"/>
      <c r="T358" s="13"/>
      <c r="U358" s="13"/>
    </row>
    <row r="359" spans="1:21" ht="15.75" customHeight="1" x14ac:dyDescent="0.2">
      <c r="A359" s="33" t="s">
        <v>1279</v>
      </c>
      <c r="B359" s="13" t="s">
        <v>1280</v>
      </c>
      <c r="C359" s="13">
        <v>1</v>
      </c>
      <c r="D359" s="13"/>
      <c r="E359" s="13"/>
      <c r="F359" s="13"/>
      <c r="G359" s="20"/>
      <c r="H359" s="20"/>
      <c r="I359" s="13"/>
      <c r="J359" s="13"/>
      <c r="K359" s="13"/>
      <c r="L359" s="13"/>
      <c r="M359" s="13"/>
      <c r="N359" s="13"/>
      <c r="O359" s="13"/>
      <c r="P359" s="13"/>
      <c r="Q359" s="13"/>
      <c r="R359" s="13"/>
      <c r="S359" s="13"/>
      <c r="T359" s="13"/>
      <c r="U359" s="13"/>
    </row>
    <row r="360" spans="1:21" ht="15.75" customHeight="1" x14ac:dyDescent="0.2">
      <c r="A360" s="33" t="s">
        <v>1831</v>
      </c>
      <c r="B360" s="13">
        <v>55459</v>
      </c>
      <c r="C360" s="13">
        <v>1</v>
      </c>
      <c r="D360" s="13"/>
      <c r="E360" s="13"/>
      <c r="F360" s="13"/>
      <c r="G360" s="20"/>
      <c r="H360" s="20"/>
      <c r="I360" s="13"/>
      <c r="J360" s="13"/>
      <c r="K360" s="13"/>
      <c r="L360" s="13"/>
      <c r="M360" s="13"/>
      <c r="N360" s="13"/>
      <c r="O360" s="13"/>
      <c r="P360" s="13"/>
      <c r="Q360" s="13"/>
      <c r="R360" s="13"/>
      <c r="S360" s="13"/>
      <c r="T360" s="13"/>
      <c r="U360" s="13"/>
    </row>
    <row r="361" spans="1:21" ht="15.75" customHeight="1" x14ac:dyDescent="0.2">
      <c r="A361" s="33" t="s">
        <v>1742</v>
      </c>
      <c r="B361" s="13" t="s">
        <v>1743</v>
      </c>
      <c r="C361" s="13">
        <v>3</v>
      </c>
      <c r="D361" s="13"/>
      <c r="E361" s="13"/>
      <c r="F361" s="13"/>
      <c r="G361" s="20"/>
      <c r="H361" s="20"/>
      <c r="I361" s="13"/>
      <c r="J361" s="13"/>
      <c r="K361" s="13"/>
      <c r="L361" s="13"/>
      <c r="M361" s="13"/>
      <c r="N361" s="13"/>
      <c r="O361" s="13"/>
      <c r="P361" s="13"/>
      <c r="Q361" s="13"/>
      <c r="R361" s="13"/>
      <c r="S361" s="13"/>
      <c r="T361" s="13"/>
      <c r="U361" s="13"/>
    </row>
    <row r="362" spans="1:21" ht="15.75" customHeight="1" x14ac:dyDescent="0.2">
      <c r="A362" s="33" t="s">
        <v>1281</v>
      </c>
      <c r="B362" s="13" t="s">
        <v>1282</v>
      </c>
      <c r="C362" s="13">
        <v>2</v>
      </c>
      <c r="D362" s="13"/>
      <c r="E362" s="13"/>
      <c r="F362" s="13"/>
      <c r="G362" s="20"/>
      <c r="H362" s="20"/>
      <c r="I362" s="13"/>
      <c r="J362" s="13"/>
      <c r="K362" s="13"/>
      <c r="L362" s="13"/>
      <c r="M362" s="13"/>
      <c r="N362" s="13"/>
      <c r="O362" s="13"/>
      <c r="P362" s="13"/>
      <c r="Q362" s="13"/>
      <c r="R362" s="13"/>
      <c r="S362" s="13"/>
      <c r="T362" s="13"/>
      <c r="U362" s="13"/>
    </row>
    <row r="363" spans="1:21" ht="15.75" customHeight="1" x14ac:dyDescent="0.2">
      <c r="A363" s="33" t="s">
        <v>1283</v>
      </c>
      <c r="B363" s="13" t="s">
        <v>1284</v>
      </c>
      <c r="C363" s="13">
        <v>3</v>
      </c>
      <c r="D363" s="13"/>
      <c r="E363" s="13"/>
      <c r="F363" s="13"/>
      <c r="G363" s="20"/>
      <c r="H363" s="20"/>
      <c r="I363" s="13"/>
      <c r="J363" s="13"/>
      <c r="K363" s="13"/>
      <c r="L363" s="13"/>
      <c r="M363" s="13"/>
      <c r="N363" s="13"/>
      <c r="O363" s="13"/>
      <c r="P363" s="13"/>
      <c r="Q363" s="13"/>
      <c r="R363" s="13"/>
      <c r="S363" s="13"/>
      <c r="T363" s="13"/>
      <c r="U363" s="13"/>
    </row>
    <row r="364" spans="1:21" ht="15.75" customHeight="1" x14ac:dyDescent="0.2">
      <c r="A364" s="33" t="s">
        <v>1285</v>
      </c>
      <c r="B364" s="13" t="s">
        <v>1286</v>
      </c>
      <c r="C364" s="13">
        <v>3</v>
      </c>
      <c r="D364" s="13"/>
      <c r="E364" s="13"/>
      <c r="F364" s="13"/>
      <c r="G364" s="20"/>
      <c r="H364" s="20"/>
      <c r="I364" s="13"/>
      <c r="J364" s="13"/>
      <c r="K364" s="13"/>
      <c r="L364" s="13"/>
      <c r="M364" s="13"/>
      <c r="N364" s="13"/>
      <c r="O364" s="13"/>
      <c r="P364" s="13"/>
      <c r="Q364" s="13"/>
      <c r="R364" s="13"/>
      <c r="S364" s="13"/>
      <c r="T364" s="13"/>
      <c r="U364" s="13"/>
    </row>
    <row r="365" spans="1:21" ht="15.75" customHeight="1" x14ac:dyDescent="0.2">
      <c r="A365" s="33"/>
      <c r="B365" s="13" t="s">
        <v>2770</v>
      </c>
      <c r="C365" s="13">
        <v>4</v>
      </c>
      <c r="D365" s="13"/>
      <c r="E365" s="13"/>
      <c r="F365" s="13"/>
      <c r="G365" s="20"/>
      <c r="H365" s="20"/>
      <c r="I365" s="13"/>
      <c r="J365" s="13"/>
      <c r="K365" s="13"/>
      <c r="L365" s="13"/>
      <c r="M365" s="13"/>
      <c r="N365" s="13"/>
      <c r="O365" s="13"/>
      <c r="P365" s="13"/>
      <c r="Q365" s="13"/>
      <c r="R365" s="13"/>
      <c r="S365" s="13"/>
      <c r="T365" s="13"/>
      <c r="U365" s="13"/>
    </row>
    <row r="366" spans="1:21" ht="15.75" customHeight="1" x14ac:dyDescent="0.2">
      <c r="A366" s="33" t="s">
        <v>1287</v>
      </c>
      <c r="B366" s="13" t="s">
        <v>1288</v>
      </c>
      <c r="C366" s="13">
        <v>4</v>
      </c>
      <c r="D366" s="13"/>
      <c r="E366" s="13"/>
      <c r="F366" s="13"/>
      <c r="G366" s="20"/>
      <c r="H366" s="20"/>
      <c r="I366" s="13"/>
      <c r="J366" s="13"/>
      <c r="K366" s="13"/>
      <c r="L366" s="13"/>
      <c r="M366" s="13"/>
      <c r="N366" s="13"/>
      <c r="O366" s="13"/>
      <c r="P366" s="13"/>
      <c r="Q366" s="13"/>
      <c r="R366" s="13"/>
      <c r="S366" s="13"/>
      <c r="T366" s="13"/>
      <c r="U366" s="13"/>
    </row>
    <row r="367" spans="1:21" ht="15.75" customHeight="1" x14ac:dyDescent="0.2">
      <c r="A367" s="33" t="s">
        <v>1744</v>
      </c>
      <c r="B367" s="13" t="s">
        <v>1745</v>
      </c>
      <c r="C367" s="13">
        <v>3</v>
      </c>
      <c r="D367" s="13"/>
      <c r="E367" s="13"/>
      <c r="F367" s="13"/>
      <c r="G367" s="20"/>
      <c r="H367" s="20"/>
      <c r="I367" s="13"/>
      <c r="J367" s="13"/>
      <c r="K367" s="13"/>
      <c r="L367" s="13"/>
      <c r="M367" s="13"/>
      <c r="N367" s="13"/>
      <c r="O367" s="13"/>
      <c r="P367" s="13"/>
      <c r="Q367" s="13"/>
      <c r="R367" s="13"/>
      <c r="S367" s="13"/>
      <c r="T367" s="13"/>
      <c r="U367" s="13"/>
    </row>
    <row r="368" spans="1:21" ht="15.75" customHeight="1" x14ac:dyDescent="0.2">
      <c r="A368" s="33" t="s">
        <v>1289</v>
      </c>
      <c r="B368" s="13" t="s">
        <v>1290</v>
      </c>
      <c r="C368" s="13">
        <v>3</v>
      </c>
      <c r="D368" s="13"/>
      <c r="E368" s="13"/>
      <c r="F368" s="13"/>
      <c r="G368" s="20"/>
      <c r="H368" s="20"/>
      <c r="I368" s="13"/>
      <c r="J368" s="13"/>
      <c r="K368" s="13"/>
      <c r="L368" s="13"/>
      <c r="M368" s="13"/>
      <c r="N368" s="13"/>
      <c r="O368" s="13"/>
      <c r="P368" s="13"/>
      <c r="Q368" s="13"/>
      <c r="R368" s="13"/>
      <c r="S368" s="13"/>
      <c r="T368" s="13"/>
      <c r="U368" s="13"/>
    </row>
    <row r="369" spans="1:21" ht="15.75" customHeight="1" x14ac:dyDescent="0.2">
      <c r="A369" s="33" t="s">
        <v>1291</v>
      </c>
      <c r="B369" s="13" t="s">
        <v>1292</v>
      </c>
      <c r="C369" s="13">
        <v>5</v>
      </c>
      <c r="D369" s="13"/>
      <c r="E369" s="13"/>
      <c r="F369" s="13"/>
      <c r="G369" s="20"/>
      <c r="H369" s="20"/>
      <c r="I369" s="13"/>
      <c r="J369" s="13"/>
      <c r="K369" s="13"/>
      <c r="L369" s="13"/>
      <c r="M369" s="13"/>
      <c r="N369" s="13"/>
      <c r="O369" s="13"/>
      <c r="P369" s="13"/>
      <c r="Q369" s="13"/>
      <c r="R369" s="13"/>
      <c r="S369" s="13"/>
      <c r="T369" s="13"/>
      <c r="U369" s="13"/>
    </row>
    <row r="370" spans="1:21" ht="15.75" customHeight="1" x14ac:dyDescent="0.2">
      <c r="A370" s="33" t="s">
        <v>1293</v>
      </c>
      <c r="B370" s="13" t="s">
        <v>1294</v>
      </c>
      <c r="C370" s="13">
        <v>5</v>
      </c>
      <c r="D370" s="13"/>
      <c r="E370" s="13"/>
      <c r="F370" s="13"/>
      <c r="G370" s="20"/>
      <c r="H370" s="20"/>
      <c r="I370" s="13"/>
      <c r="J370" s="13"/>
      <c r="K370" s="13"/>
      <c r="L370" s="13"/>
      <c r="M370" s="13"/>
      <c r="N370" s="13"/>
      <c r="O370" s="13"/>
      <c r="P370" s="13"/>
      <c r="Q370" s="13"/>
      <c r="R370" s="13"/>
      <c r="S370" s="13"/>
      <c r="T370" s="13"/>
      <c r="U370" s="13"/>
    </row>
    <row r="371" spans="1:21" ht="15.75" customHeight="1" x14ac:dyDescent="0.2">
      <c r="A371" s="33" t="s">
        <v>1636</v>
      </c>
      <c r="B371" s="13" t="s">
        <v>1637</v>
      </c>
      <c r="C371" s="13">
        <v>10</v>
      </c>
      <c r="D371" s="13"/>
      <c r="E371" s="13"/>
      <c r="F371" s="13"/>
      <c r="G371" s="20"/>
      <c r="H371" s="20"/>
      <c r="I371" s="13"/>
      <c r="J371" s="13"/>
      <c r="K371" s="13"/>
      <c r="L371" s="13"/>
      <c r="M371" s="13"/>
      <c r="N371" s="13"/>
      <c r="O371" s="13"/>
      <c r="P371" s="13"/>
      <c r="Q371" s="13"/>
      <c r="R371" s="13"/>
      <c r="S371" s="13"/>
      <c r="T371" s="13"/>
      <c r="U371" s="13"/>
    </row>
    <row r="372" spans="1:21" ht="15.75" customHeight="1" x14ac:dyDescent="0.2">
      <c r="A372" s="33" t="s">
        <v>1295</v>
      </c>
      <c r="B372" s="13" t="s">
        <v>1296</v>
      </c>
      <c r="C372" s="13">
        <v>1</v>
      </c>
      <c r="D372" s="13"/>
      <c r="E372" s="13"/>
      <c r="F372" s="13"/>
      <c r="G372" s="20"/>
      <c r="H372" s="20"/>
      <c r="I372" s="13"/>
      <c r="J372" s="13"/>
      <c r="K372" s="13"/>
      <c r="L372" s="13"/>
      <c r="M372" s="13"/>
      <c r="N372" s="13"/>
      <c r="O372" s="13"/>
      <c r="P372" s="13"/>
      <c r="Q372" s="13"/>
      <c r="R372" s="13"/>
      <c r="S372" s="13"/>
      <c r="T372" s="13"/>
      <c r="U372" s="13"/>
    </row>
    <row r="373" spans="1:21" ht="15.75" customHeight="1" x14ac:dyDescent="0.2">
      <c r="A373" s="33" t="s">
        <v>1297</v>
      </c>
      <c r="B373" s="13" t="s">
        <v>1298</v>
      </c>
      <c r="C373" s="13">
        <v>1</v>
      </c>
      <c r="D373" s="13"/>
      <c r="E373" s="13"/>
      <c r="F373" s="13"/>
      <c r="G373" s="20"/>
      <c r="H373" s="20"/>
      <c r="I373" s="13"/>
      <c r="J373" s="13"/>
      <c r="K373" s="13"/>
      <c r="L373" s="13"/>
      <c r="M373" s="13"/>
      <c r="N373" s="13"/>
      <c r="O373" s="13"/>
      <c r="P373" s="13"/>
      <c r="Q373" s="13"/>
      <c r="R373" s="13"/>
      <c r="S373" s="13"/>
      <c r="T373" s="13"/>
      <c r="U373" s="13"/>
    </row>
    <row r="374" spans="1:21" ht="15.75" customHeight="1" x14ac:dyDescent="0.2">
      <c r="A374" s="33" t="s">
        <v>1299</v>
      </c>
      <c r="B374" s="13" t="s">
        <v>1300</v>
      </c>
      <c r="C374" s="13">
        <v>1</v>
      </c>
      <c r="D374" s="13"/>
      <c r="E374" s="13"/>
      <c r="F374" s="13"/>
      <c r="G374" s="20"/>
      <c r="H374" s="20"/>
      <c r="I374" s="13"/>
      <c r="J374" s="13"/>
      <c r="K374" s="13"/>
      <c r="L374" s="13"/>
      <c r="M374" s="13"/>
      <c r="N374" s="13"/>
      <c r="O374" s="13"/>
      <c r="P374" s="13"/>
      <c r="Q374" s="13"/>
      <c r="R374" s="13"/>
      <c r="S374" s="13"/>
      <c r="T374" s="13"/>
      <c r="U374" s="13"/>
    </row>
    <row r="375" spans="1:21" ht="15.75" customHeight="1" x14ac:dyDescent="0.2">
      <c r="A375" s="33" t="s">
        <v>1301</v>
      </c>
      <c r="B375" s="13" t="s">
        <v>1302</v>
      </c>
      <c r="C375" s="13">
        <v>1</v>
      </c>
      <c r="D375" s="13"/>
      <c r="E375" s="13"/>
      <c r="F375" s="13"/>
      <c r="G375" s="20"/>
      <c r="H375" s="20"/>
      <c r="I375" s="13"/>
      <c r="J375" s="13"/>
      <c r="K375" s="13"/>
      <c r="L375" s="13"/>
      <c r="M375" s="13"/>
      <c r="N375" s="13"/>
      <c r="O375" s="13"/>
      <c r="P375" s="13"/>
      <c r="Q375" s="13"/>
      <c r="R375" s="13"/>
      <c r="S375" s="13"/>
      <c r="T375" s="13"/>
      <c r="U375" s="13"/>
    </row>
    <row r="376" spans="1:21" ht="15.75" customHeight="1" x14ac:dyDescent="0.2">
      <c r="A376" s="33" t="s">
        <v>1303</v>
      </c>
      <c r="B376" s="13" t="s">
        <v>1304</v>
      </c>
      <c r="C376" s="13">
        <v>2</v>
      </c>
      <c r="D376" s="13"/>
      <c r="E376" s="13"/>
      <c r="F376" s="13"/>
      <c r="G376" s="20"/>
      <c r="H376" s="20"/>
      <c r="I376" s="13"/>
      <c r="J376" s="13"/>
      <c r="K376" s="13"/>
      <c r="L376" s="13"/>
      <c r="M376" s="13"/>
      <c r="N376" s="13"/>
      <c r="O376" s="13"/>
      <c r="P376" s="13"/>
      <c r="Q376" s="13"/>
      <c r="R376" s="13"/>
      <c r="S376" s="13"/>
      <c r="T376" s="13"/>
      <c r="U376" s="13"/>
    </row>
    <row r="377" spans="1:21" ht="15.75" customHeight="1" x14ac:dyDescent="0.2">
      <c r="A377" s="33" t="s">
        <v>1532</v>
      </c>
      <c r="B377" s="13" t="s">
        <v>1533</v>
      </c>
      <c r="C377" s="13">
        <v>5</v>
      </c>
      <c r="D377" s="13"/>
      <c r="E377" s="13"/>
      <c r="F377" s="13"/>
      <c r="G377" s="20"/>
      <c r="H377" s="20"/>
      <c r="I377" s="13"/>
      <c r="J377" s="13"/>
      <c r="K377" s="13"/>
      <c r="L377" s="13"/>
      <c r="M377" s="13"/>
      <c r="N377" s="13"/>
      <c r="O377" s="13"/>
      <c r="P377" s="13"/>
      <c r="Q377" s="13"/>
      <c r="R377" s="13"/>
      <c r="S377" s="13"/>
      <c r="T377" s="13"/>
      <c r="U377" s="13"/>
    </row>
    <row r="378" spans="1:21" ht="15.75" customHeight="1" x14ac:dyDescent="0.2">
      <c r="A378" s="33" t="s">
        <v>1305</v>
      </c>
      <c r="B378" s="13" t="s">
        <v>1306</v>
      </c>
      <c r="C378" s="13">
        <v>1</v>
      </c>
      <c r="D378" s="13"/>
      <c r="E378" s="13"/>
      <c r="F378" s="13"/>
      <c r="G378" s="20"/>
      <c r="H378" s="20"/>
      <c r="I378" s="13"/>
      <c r="J378" s="13"/>
      <c r="K378" s="13"/>
      <c r="L378" s="13"/>
      <c r="M378" s="13"/>
      <c r="N378" s="13"/>
      <c r="O378" s="13"/>
      <c r="P378" s="13"/>
      <c r="Q378" s="13"/>
      <c r="R378" s="13"/>
      <c r="S378" s="13"/>
      <c r="T378" s="13"/>
      <c r="U378" s="13"/>
    </row>
    <row r="379" spans="1:21" ht="15.75" customHeight="1" x14ac:dyDescent="0.2">
      <c r="A379" s="33" t="s">
        <v>1716</v>
      </c>
      <c r="B379" s="13" t="s">
        <v>1717</v>
      </c>
      <c r="C379" s="13">
        <v>3</v>
      </c>
      <c r="D379" s="13"/>
      <c r="E379" s="13"/>
      <c r="F379" s="13"/>
      <c r="G379" s="20"/>
      <c r="H379" s="20"/>
      <c r="I379" s="13"/>
      <c r="J379" s="13"/>
      <c r="K379" s="13"/>
      <c r="L379" s="13"/>
      <c r="M379" s="13"/>
      <c r="N379" s="13"/>
      <c r="O379" s="13"/>
      <c r="P379" s="13"/>
      <c r="Q379" s="13"/>
      <c r="R379" s="13"/>
      <c r="S379" s="13"/>
      <c r="T379" s="13"/>
      <c r="U379" s="13"/>
    </row>
    <row r="380" spans="1:21" ht="15.75" customHeight="1" x14ac:dyDescent="0.2">
      <c r="A380" s="33" t="s">
        <v>1307</v>
      </c>
      <c r="B380" s="13" t="s">
        <v>1308</v>
      </c>
      <c r="C380" s="13">
        <v>2</v>
      </c>
      <c r="D380" s="13"/>
      <c r="E380" s="13"/>
      <c r="F380" s="13"/>
      <c r="G380" s="20"/>
      <c r="H380" s="20"/>
      <c r="I380" s="13"/>
      <c r="J380" s="13"/>
      <c r="K380" s="13"/>
      <c r="L380" s="13"/>
      <c r="M380" s="13"/>
      <c r="N380" s="13"/>
      <c r="O380" s="13"/>
      <c r="P380" s="13"/>
      <c r="Q380" s="13"/>
      <c r="R380" s="13"/>
      <c r="S380" s="13"/>
      <c r="T380" s="13"/>
      <c r="U380" s="13"/>
    </row>
    <row r="381" spans="1:21" ht="15.75" customHeight="1" x14ac:dyDescent="0.2">
      <c r="A381" s="33" t="s">
        <v>1746</v>
      </c>
      <c r="B381" s="13" t="s">
        <v>1747</v>
      </c>
      <c r="C381" s="13">
        <v>1</v>
      </c>
      <c r="D381" s="13"/>
      <c r="E381" s="13"/>
      <c r="F381" s="13"/>
      <c r="G381" s="20"/>
      <c r="H381" s="20"/>
      <c r="I381" s="13"/>
      <c r="J381" s="13"/>
      <c r="K381" s="13"/>
      <c r="L381" s="13"/>
      <c r="M381" s="13"/>
      <c r="N381" s="13"/>
      <c r="O381" s="13"/>
      <c r="P381" s="13"/>
      <c r="Q381" s="13"/>
      <c r="R381" s="13"/>
      <c r="S381" s="13"/>
      <c r="T381" s="13"/>
      <c r="U381" s="13"/>
    </row>
    <row r="382" spans="1:21" ht="15.75" customHeight="1" x14ac:dyDescent="0.2">
      <c r="A382" s="33" t="s">
        <v>1748</v>
      </c>
      <c r="B382" s="13" t="s">
        <v>1749</v>
      </c>
      <c r="C382" s="13">
        <v>3</v>
      </c>
      <c r="D382" s="13"/>
      <c r="E382" s="13"/>
      <c r="F382" s="13"/>
      <c r="G382" s="20"/>
      <c r="H382" s="20"/>
      <c r="I382" s="13"/>
      <c r="J382" s="13"/>
      <c r="K382" s="13"/>
      <c r="L382" s="13"/>
      <c r="M382" s="13"/>
      <c r="N382" s="13"/>
      <c r="O382" s="13"/>
      <c r="P382" s="13"/>
      <c r="Q382" s="13"/>
      <c r="R382" s="13"/>
      <c r="S382" s="13"/>
      <c r="T382" s="13"/>
      <c r="U382" s="13"/>
    </row>
    <row r="383" spans="1:21" ht="15.75" customHeight="1" x14ac:dyDescent="0.2">
      <c r="A383" s="33" t="s">
        <v>1309</v>
      </c>
      <c r="B383" s="13" t="s">
        <v>1310</v>
      </c>
      <c r="C383" s="13">
        <v>12</v>
      </c>
      <c r="D383" s="13"/>
      <c r="E383" s="13"/>
      <c r="F383" s="13"/>
      <c r="G383" s="20"/>
      <c r="H383" s="20"/>
      <c r="I383" s="13"/>
      <c r="J383" s="13"/>
      <c r="K383" s="13"/>
      <c r="L383" s="13"/>
      <c r="M383" s="13"/>
      <c r="N383" s="13"/>
      <c r="O383" s="13"/>
      <c r="P383" s="13"/>
      <c r="Q383" s="13"/>
      <c r="R383" s="13"/>
      <c r="S383" s="13"/>
      <c r="T383" s="13"/>
      <c r="U383" s="13"/>
    </row>
    <row r="384" spans="1:21" ht="15.75" customHeight="1" x14ac:dyDescent="0.2">
      <c r="A384" s="33" t="s">
        <v>1311</v>
      </c>
      <c r="B384" s="13" t="s">
        <v>1312</v>
      </c>
      <c r="C384" s="13">
        <v>3</v>
      </c>
      <c r="D384" s="13"/>
      <c r="E384" s="13"/>
      <c r="F384" s="13"/>
      <c r="G384" s="20"/>
      <c r="H384" s="20"/>
      <c r="I384" s="13"/>
      <c r="J384" s="13"/>
      <c r="K384" s="13"/>
      <c r="L384" s="13"/>
      <c r="M384" s="13"/>
      <c r="N384" s="13"/>
      <c r="O384" s="13"/>
      <c r="P384" s="13"/>
      <c r="Q384" s="13"/>
      <c r="R384" s="13"/>
      <c r="S384" s="13"/>
      <c r="T384" s="13"/>
      <c r="U384" s="13"/>
    </row>
    <row r="385" spans="1:21" ht="15.75" customHeight="1" x14ac:dyDescent="0.2">
      <c r="A385" s="33" t="s">
        <v>1313</v>
      </c>
      <c r="B385" s="13" t="s">
        <v>1314</v>
      </c>
      <c r="C385" s="13">
        <v>2</v>
      </c>
      <c r="D385" s="13"/>
      <c r="E385" s="13"/>
      <c r="F385" s="13"/>
      <c r="G385" s="20"/>
      <c r="H385" s="20"/>
      <c r="I385" s="13"/>
      <c r="J385" s="13"/>
      <c r="K385" s="13"/>
      <c r="L385" s="13"/>
      <c r="M385" s="13"/>
      <c r="N385" s="13"/>
      <c r="O385" s="13"/>
      <c r="P385" s="13"/>
      <c r="Q385" s="13"/>
      <c r="R385" s="13"/>
      <c r="S385" s="13"/>
      <c r="T385" s="13"/>
      <c r="U385" s="13"/>
    </row>
    <row r="386" spans="1:21" ht="15.75" customHeight="1" x14ac:dyDescent="0.2">
      <c r="A386" s="33" t="s">
        <v>1588</v>
      </c>
      <c r="B386" s="13" t="s">
        <v>1589</v>
      </c>
      <c r="C386" s="13">
        <v>1</v>
      </c>
      <c r="D386" s="13"/>
      <c r="E386" s="13"/>
      <c r="F386" s="13"/>
      <c r="G386" s="20"/>
      <c r="H386" s="20"/>
      <c r="I386" s="13"/>
      <c r="J386" s="13"/>
      <c r="K386" s="13"/>
      <c r="L386" s="13"/>
      <c r="M386" s="13"/>
      <c r="N386" s="13"/>
      <c r="O386" s="13"/>
      <c r="P386" s="13"/>
      <c r="Q386" s="13"/>
      <c r="R386" s="13"/>
      <c r="S386" s="13"/>
      <c r="T386" s="13"/>
      <c r="U386" s="13"/>
    </row>
    <row r="387" spans="1:21" ht="15.75" customHeight="1" x14ac:dyDescent="0.2">
      <c r="A387" s="33" t="s">
        <v>1315</v>
      </c>
      <c r="B387" s="13" t="s">
        <v>1316</v>
      </c>
      <c r="C387" s="13">
        <v>2</v>
      </c>
      <c r="D387" s="13"/>
      <c r="E387" s="13"/>
      <c r="F387" s="13"/>
      <c r="G387" s="20"/>
      <c r="H387" s="20"/>
      <c r="I387" s="13"/>
      <c r="J387" s="13"/>
      <c r="K387" s="13"/>
      <c r="L387" s="13"/>
      <c r="M387" s="13"/>
      <c r="N387" s="13"/>
      <c r="O387" s="13"/>
      <c r="P387" s="13"/>
      <c r="Q387" s="13"/>
      <c r="R387" s="13"/>
      <c r="S387" s="13"/>
      <c r="T387" s="13"/>
      <c r="U387" s="13"/>
    </row>
    <row r="388" spans="1:21" ht="15.75" customHeight="1" x14ac:dyDescent="0.2">
      <c r="A388" s="33" t="s">
        <v>1317</v>
      </c>
      <c r="B388" s="13" t="s">
        <v>1318</v>
      </c>
      <c r="C388" s="13">
        <v>1</v>
      </c>
      <c r="D388" s="13"/>
      <c r="E388" s="13"/>
      <c r="F388" s="13"/>
      <c r="G388" s="20"/>
      <c r="H388" s="20"/>
      <c r="I388" s="13"/>
      <c r="J388" s="13"/>
      <c r="K388" s="13"/>
      <c r="L388" s="13"/>
      <c r="M388" s="13"/>
      <c r="N388" s="13"/>
      <c r="O388" s="13"/>
      <c r="P388" s="13"/>
      <c r="Q388" s="13"/>
      <c r="R388" s="13"/>
      <c r="S388" s="13"/>
      <c r="T388" s="13"/>
      <c r="U388" s="13"/>
    </row>
    <row r="389" spans="1:21" ht="15.75" customHeight="1" x14ac:dyDescent="0.2">
      <c r="A389" s="33" t="s">
        <v>1750</v>
      </c>
      <c r="B389" s="13" t="s">
        <v>1751</v>
      </c>
      <c r="C389" s="13">
        <v>4</v>
      </c>
      <c r="D389" s="13"/>
      <c r="E389" s="13"/>
      <c r="F389" s="13"/>
      <c r="G389" s="20"/>
      <c r="H389" s="20"/>
      <c r="I389" s="13"/>
      <c r="J389" s="13"/>
      <c r="K389" s="13"/>
      <c r="L389" s="13"/>
      <c r="M389" s="13"/>
      <c r="N389" s="13"/>
      <c r="O389" s="13"/>
      <c r="P389" s="13"/>
      <c r="Q389" s="13"/>
      <c r="R389" s="13"/>
      <c r="S389" s="13"/>
      <c r="T389" s="13"/>
      <c r="U389" s="13"/>
    </row>
    <row r="390" spans="1:21" ht="15.75" customHeight="1" x14ac:dyDescent="0.2">
      <c r="A390" s="33" t="s">
        <v>1319</v>
      </c>
      <c r="B390" s="13" t="s">
        <v>1320</v>
      </c>
      <c r="C390" s="13">
        <v>1</v>
      </c>
      <c r="D390" s="13"/>
      <c r="E390" s="13"/>
      <c r="F390" s="13"/>
      <c r="G390" s="20"/>
      <c r="H390" s="20"/>
      <c r="I390" s="13"/>
      <c r="J390" s="13"/>
      <c r="K390" s="13"/>
      <c r="L390" s="13"/>
      <c r="M390" s="13"/>
      <c r="N390" s="13"/>
      <c r="O390" s="13"/>
      <c r="P390" s="13"/>
      <c r="Q390" s="13"/>
      <c r="R390" s="13"/>
      <c r="S390" s="13"/>
      <c r="T390" s="13"/>
      <c r="U390" s="13"/>
    </row>
    <row r="391" spans="1:21" ht="15.75" customHeight="1" x14ac:dyDescent="0.2">
      <c r="A391" s="33" t="s">
        <v>1321</v>
      </c>
      <c r="B391" s="13" t="s">
        <v>1322</v>
      </c>
      <c r="C391" s="13">
        <v>1</v>
      </c>
      <c r="D391" s="13"/>
      <c r="E391" s="13"/>
      <c r="F391" s="13"/>
      <c r="G391" s="20"/>
      <c r="H391" s="20"/>
      <c r="I391" s="13"/>
      <c r="J391" s="13"/>
      <c r="K391" s="13"/>
      <c r="L391" s="13"/>
      <c r="M391" s="13"/>
      <c r="N391" s="13"/>
      <c r="O391" s="13"/>
      <c r="P391" s="13"/>
      <c r="Q391" s="13"/>
      <c r="R391" s="13"/>
      <c r="S391" s="13"/>
      <c r="T391" s="13"/>
      <c r="U391" s="13"/>
    </row>
    <row r="392" spans="1:21" ht="15.75" customHeight="1" x14ac:dyDescent="0.2">
      <c r="A392" s="33" t="s">
        <v>1602</v>
      </c>
      <c r="B392" s="13" t="s">
        <v>1603</v>
      </c>
      <c r="C392" s="13">
        <v>5</v>
      </c>
      <c r="D392" s="13"/>
      <c r="E392" s="13"/>
      <c r="F392" s="13"/>
      <c r="G392" s="20"/>
      <c r="H392" s="20"/>
      <c r="I392" s="13"/>
      <c r="J392" s="13"/>
      <c r="K392" s="13"/>
      <c r="L392" s="13"/>
      <c r="M392" s="13"/>
      <c r="N392" s="13"/>
      <c r="O392" s="13"/>
      <c r="P392" s="13"/>
      <c r="Q392" s="13"/>
      <c r="R392" s="13"/>
      <c r="S392" s="13"/>
      <c r="T392" s="13"/>
      <c r="U392" s="13"/>
    </row>
    <row r="393" spans="1:21" ht="15.75" customHeight="1" x14ac:dyDescent="0.2">
      <c r="A393" s="33" t="s">
        <v>1838</v>
      </c>
      <c r="B393" s="13" t="s">
        <v>1839</v>
      </c>
      <c r="C393" s="13">
        <v>1</v>
      </c>
      <c r="D393" s="13"/>
      <c r="E393" s="13"/>
      <c r="F393" s="13"/>
      <c r="G393" s="20"/>
      <c r="H393" s="20"/>
      <c r="I393" s="13"/>
      <c r="J393" s="13"/>
      <c r="K393" s="13"/>
      <c r="L393" s="13"/>
      <c r="M393" s="13"/>
      <c r="N393" s="13"/>
      <c r="O393" s="13"/>
      <c r="P393" s="13"/>
      <c r="Q393" s="13"/>
      <c r="R393" s="13"/>
      <c r="S393" s="13"/>
      <c r="T393" s="13"/>
      <c r="U393" s="13"/>
    </row>
    <row r="394" spans="1:21" ht="15.75" customHeight="1" x14ac:dyDescent="0.2">
      <c r="A394" s="33" t="s">
        <v>28</v>
      </c>
      <c r="B394" s="13" t="s">
        <v>1323</v>
      </c>
      <c r="C394" s="13">
        <v>1</v>
      </c>
      <c r="D394" s="13"/>
      <c r="E394" s="13"/>
      <c r="F394" s="13"/>
      <c r="G394" s="20"/>
      <c r="H394" s="20"/>
      <c r="I394" s="13"/>
      <c r="J394" s="13"/>
      <c r="K394" s="13"/>
      <c r="L394" s="13"/>
      <c r="M394" s="13"/>
      <c r="N394" s="13"/>
      <c r="O394" s="13"/>
      <c r="P394" s="13"/>
      <c r="Q394" s="13"/>
      <c r="R394" s="13"/>
      <c r="S394" s="13"/>
      <c r="T394" s="13"/>
      <c r="U394" s="13"/>
    </row>
    <row r="395" spans="1:21" ht="15.75" customHeight="1" x14ac:dyDescent="0.2">
      <c r="A395" s="33" t="s">
        <v>1752</v>
      </c>
      <c r="B395" s="13" t="s">
        <v>1753</v>
      </c>
      <c r="C395" s="13">
        <v>2</v>
      </c>
      <c r="D395" s="13"/>
      <c r="E395" s="13"/>
      <c r="F395" s="13"/>
      <c r="G395" s="20"/>
      <c r="H395" s="20"/>
      <c r="I395" s="13"/>
      <c r="J395" s="13"/>
      <c r="K395" s="13"/>
      <c r="L395" s="13"/>
      <c r="M395" s="13"/>
      <c r="N395" s="13"/>
      <c r="O395" s="13"/>
      <c r="P395" s="13"/>
      <c r="Q395" s="13"/>
      <c r="R395" s="13"/>
      <c r="S395" s="13"/>
      <c r="T395" s="13"/>
      <c r="U395" s="13"/>
    </row>
    <row r="396" spans="1:21" ht="15.75" customHeight="1" x14ac:dyDescent="0.2">
      <c r="A396" s="33" t="s">
        <v>1324</v>
      </c>
      <c r="B396" s="13" t="s">
        <v>1325</v>
      </c>
      <c r="C396" s="13">
        <v>5</v>
      </c>
      <c r="D396" s="13"/>
      <c r="E396" s="13"/>
      <c r="F396" s="13"/>
      <c r="G396" s="20"/>
      <c r="H396" s="20"/>
      <c r="I396" s="13"/>
      <c r="J396" s="13"/>
      <c r="K396" s="13"/>
      <c r="L396" s="13"/>
      <c r="M396" s="13"/>
      <c r="N396" s="13"/>
      <c r="O396" s="13"/>
      <c r="P396" s="13"/>
      <c r="Q396" s="13"/>
      <c r="R396" s="13"/>
      <c r="S396" s="13"/>
      <c r="T396" s="13"/>
      <c r="U396" s="13"/>
    </row>
    <row r="397" spans="1:21" ht="15.75" customHeight="1" x14ac:dyDescent="0.2">
      <c r="A397" s="33" t="s">
        <v>1326</v>
      </c>
      <c r="B397" s="13" t="s">
        <v>1327</v>
      </c>
      <c r="C397" s="13">
        <v>1</v>
      </c>
      <c r="D397" s="13"/>
      <c r="E397" s="13"/>
      <c r="F397" s="13"/>
      <c r="G397" s="20"/>
      <c r="H397" s="20"/>
      <c r="I397" s="13"/>
      <c r="J397" s="13"/>
      <c r="K397" s="13"/>
      <c r="L397" s="13"/>
      <c r="M397" s="13"/>
      <c r="N397" s="13"/>
      <c r="O397" s="13"/>
      <c r="P397" s="13"/>
      <c r="Q397" s="13"/>
      <c r="R397" s="13"/>
      <c r="S397" s="13"/>
      <c r="T397" s="13"/>
      <c r="U397" s="13"/>
    </row>
    <row r="398" spans="1:21" ht="15.75" customHeight="1" x14ac:dyDescent="0.2">
      <c r="A398" s="33" t="s">
        <v>1328</v>
      </c>
      <c r="B398" s="13" t="s">
        <v>1329</v>
      </c>
      <c r="C398" s="13">
        <v>1</v>
      </c>
      <c r="D398" s="13"/>
      <c r="E398" s="13"/>
      <c r="F398" s="13"/>
      <c r="G398" s="20"/>
      <c r="H398" s="20"/>
      <c r="I398" s="13"/>
      <c r="J398" s="13"/>
      <c r="K398" s="13"/>
      <c r="L398" s="13"/>
      <c r="M398" s="13"/>
      <c r="N398" s="13"/>
      <c r="O398" s="13"/>
      <c r="P398" s="13"/>
      <c r="Q398" s="13"/>
      <c r="R398" s="13"/>
      <c r="S398" s="13"/>
      <c r="T398" s="13"/>
      <c r="U398" s="13"/>
    </row>
    <row r="399" spans="1:21" ht="15.75" customHeight="1" x14ac:dyDescent="0.2">
      <c r="A399" s="33" t="s">
        <v>1328</v>
      </c>
      <c r="B399" s="13">
        <v>78198</v>
      </c>
      <c r="C399" s="13">
        <v>4</v>
      </c>
      <c r="D399" s="13"/>
      <c r="E399" s="13"/>
      <c r="F399" s="13"/>
      <c r="G399" s="20"/>
      <c r="H399" s="20"/>
      <c r="I399" s="13"/>
      <c r="J399" s="13"/>
      <c r="K399" s="13"/>
      <c r="L399" s="13"/>
      <c r="M399" s="13"/>
      <c r="N399" s="13"/>
      <c r="O399" s="13"/>
      <c r="P399" s="13"/>
      <c r="Q399" s="13"/>
      <c r="R399" s="13"/>
      <c r="S399" s="13"/>
      <c r="T399" s="13"/>
      <c r="U399" s="13"/>
    </row>
    <row r="400" spans="1:21" ht="15.75" customHeight="1" x14ac:dyDescent="0.2">
      <c r="A400" s="33" t="s">
        <v>1330</v>
      </c>
      <c r="B400" s="13" t="s">
        <v>1331</v>
      </c>
      <c r="C400" s="13">
        <v>1</v>
      </c>
      <c r="D400" s="13"/>
      <c r="E400" s="13"/>
      <c r="F400" s="13"/>
      <c r="G400" s="20"/>
      <c r="H400" s="20"/>
      <c r="I400" s="13"/>
      <c r="J400" s="13"/>
      <c r="K400" s="13"/>
      <c r="L400" s="13"/>
      <c r="M400" s="13"/>
      <c r="N400" s="13"/>
      <c r="O400" s="13"/>
      <c r="P400" s="13"/>
      <c r="Q400" s="13"/>
      <c r="R400" s="13"/>
      <c r="S400" s="13"/>
      <c r="T400" s="13"/>
      <c r="U400" s="13"/>
    </row>
    <row r="401" spans="1:21" ht="15.75" customHeight="1" x14ac:dyDescent="0.2">
      <c r="A401" s="33" t="s">
        <v>1332</v>
      </c>
      <c r="B401" s="13" t="s">
        <v>1333</v>
      </c>
      <c r="C401" s="13">
        <v>2</v>
      </c>
      <c r="D401" s="13"/>
      <c r="E401" s="13"/>
      <c r="F401" s="13"/>
      <c r="G401" s="20"/>
      <c r="H401" s="20"/>
      <c r="I401" s="13"/>
      <c r="J401" s="13"/>
      <c r="K401" s="13"/>
      <c r="L401" s="13"/>
      <c r="M401" s="13"/>
      <c r="N401" s="13"/>
      <c r="O401" s="13"/>
      <c r="P401" s="13"/>
      <c r="Q401" s="13"/>
      <c r="R401" s="13"/>
      <c r="S401" s="13"/>
      <c r="T401" s="13"/>
      <c r="U401" s="13"/>
    </row>
    <row r="402" spans="1:21" ht="15.75" customHeight="1" x14ac:dyDescent="0.2">
      <c r="A402" s="33" t="s">
        <v>1334</v>
      </c>
      <c r="B402" s="13" t="s">
        <v>1335</v>
      </c>
      <c r="C402" s="13">
        <v>1</v>
      </c>
      <c r="D402" s="13"/>
      <c r="E402" s="13"/>
      <c r="F402" s="13"/>
      <c r="G402" s="20"/>
      <c r="H402" s="20"/>
      <c r="I402" s="13"/>
      <c r="J402" s="13"/>
      <c r="K402" s="13"/>
      <c r="L402" s="13"/>
      <c r="M402" s="13"/>
      <c r="N402" s="13"/>
      <c r="O402" s="13"/>
      <c r="P402" s="13"/>
      <c r="Q402" s="13"/>
      <c r="R402" s="13"/>
      <c r="S402" s="13"/>
      <c r="T402" s="13"/>
      <c r="U402" s="13"/>
    </row>
    <row r="403" spans="1:21" ht="15.75" customHeight="1" x14ac:dyDescent="0.2">
      <c r="A403" s="33" t="s">
        <v>1604</v>
      </c>
      <c r="B403" s="13">
        <v>65898</v>
      </c>
      <c r="C403" s="13">
        <v>1</v>
      </c>
      <c r="D403" s="13"/>
      <c r="E403" s="13"/>
      <c r="F403" s="13"/>
      <c r="G403" s="20"/>
      <c r="H403" s="20"/>
      <c r="I403" s="13"/>
      <c r="J403" s="13"/>
      <c r="K403" s="13"/>
      <c r="L403" s="13"/>
      <c r="M403" s="13"/>
      <c r="N403" s="13"/>
      <c r="O403" s="13"/>
      <c r="P403" s="13"/>
      <c r="Q403" s="13"/>
      <c r="R403" s="13"/>
      <c r="S403" s="13"/>
      <c r="T403" s="13"/>
      <c r="U403" s="13"/>
    </row>
    <row r="404" spans="1:21" ht="15.75" customHeight="1" x14ac:dyDescent="0.2">
      <c r="A404" s="33" t="s">
        <v>1336</v>
      </c>
      <c r="B404" s="13" t="s">
        <v>1337</v>
      </c>
      <c r="C404" s="13">
        <v>1</v>
      </c>
      <c r="D404" s="13"/>
      <c r="E404" s="13"/>
      <c r="F404" s="13"/>
      <c r="G404" s="20"/>
      <c r="H404" s="20"/>
      <c r="I404" s="13"/>
      <c r="J404" s="13"/>
      <c r="K404" s="13"/>
      <c r="L404" s="13"/>
      <c r="M404" s="13"/>
      <c r="N404" s="13"/>
      <c r="O404" s="13"/>
      <c r="P404" s="13"/>
      <c r="Q404" s="13"/>
      <c r="R404" s="13"/>
      <c r="S404" s="13"/>
      <c r="T404" s="13"/>
      <c r="U404" s="13"/>
    </row>
    <row r="405" spans="1:21" ht="15.75" customHeight="1" x14ac:dyDescent="0.2">
      <c r="A405" s="33" t="s">
        <v>1754</v>
      </c>
      <c r="B405" s="13" t="s">
        <v>1755</v>
      </c>
      <c r="C405" s="13">
        <v>4</v>
      </c>
      <c r="D405" s="13"/>
      <c r="E405" s="13"/>
      <c r="F405" s="13"/>
      <c r="G405" s="20"/>
      <c r="H405" s="20"/>
      <c r="I405" s="13"/>
      <c r="J405" s="13"/>
      <c r="K405" s="13"/>
      <c r="L405" s="13"/>
      <c r="M405" s="13"/>
      <c r="N405" s="13"/>
      <c r="O405" s="13"/>
      <c r="P405" s="13"/>
      <c r="Q405" s="13"/>
      <c r="R405" s="13"/>
      <c r="S405" s="13"/>
      <c r="T405" s="13"/>
      <c r="U405" s="13"/>
    </row>
    <row r="406" spans="1:21" ht="15.75" customHeight="1" x14ac:dyDescent="0.2">
      <c r="A406" s="33" t="s">
        <v>1338</v>
      </c>
      <c r="B406" s="13" t="s">
        <v>1339</v>
      </c>
      <c r="C406" s="13">
        <v>2</v>
      </c>
      <c r="D406" s="13"/>
      <c r="E406" s="13"/>
      <c r="F406" s="13"/>
      <c r="G406" s="20"/>
      <c r="H406" s="20"/>
      <c r="I406" s="13"/>
      <c r="J406" s="13"/>
      <c r="K406" s="13"/>
      <c r="L406" s="13"/>
      <c r="M406" s="13"/>
      <c r="N406" s="13"/>
      <c r="O406" s="13"/>
      <c r="P406" s="13"/>
      <c r="Q406" s="13"/>
      <c r="R406" s="13"/>
      <c r="S406" s="13"/>
      <c r="T406" s="13"/>
      <c r="U406" s="13"/>
    </row>
    <row r="407" spans="1:21" ht="15.75" customHeight="1" x14ac:dyDescent="0.2">
      <c r="A407" s="33" t="s">
        <v>70</v>
      </c>
      <c r="B407" s="13" t="s">
        <v>1534</v>
      </c>
      <c r="C407" s="13">
        <v>2</v>
      </c>
      <c r="D407" s="13"/>
      <c r="E407" s="13"/>
      <c r="F407" s="13"/>
      <c r="G407" s="20"/>
      <c r="H407" s="20"/>
      <c r="I407" s="13"/>
      <c r="J407" s="13"/>
      <c r="K407" s="13"/>
      <c r="L407" s="13"/>
      <c r="M407" s="13"/>
      <c r="N407" s="13"/>
      <c r="O407" s="13"/>
      <c r="P407" s="13"/>
      <c r="Q407" s="13"/>
      <c r="R407" s="13"/>
      <c r="S407" s="13"/>
      <c r="T407" s="13"/>
      <c r="U407" s="13"/>
    </row>
    <row r="408" spans="1:21" ht="15.75" customHeight="1" x14ac:dyDescent="0.2">
      <c r="A408" s="33" t="s">
        <v>1340</v>
      </c>
      <c r="B408" s="13">
        <v>42522</v>
      </c>
      <c r="C408" s="13">
        <v>7</v>
      </c>
      <c r="D408" s="13"/>
      <c r="E408" s="13"/>
      <c r="F408" s="13"/>
      <c r="G408" s="20"/>
      <c r="H408" s="20"/>
      <c r="I408" s="13"/>
      <c r="J408" s="13"/>
      <c r="K408" s="13"/>
      <c r="L408" s="13"/>
      <c r="M408" s="13"/>
      <c r="N408" s="13"/>
      <c r="O408" s="13"/>
      <c r="P408" s="13"/>
      <c r="Q408" s="13"/>
      <c r="R408" s="13"/>
      <c r="S408" s="13"/>
      <c r="T408" s="13"/>
      <c r="U408" s="13"/>
    </row>
    <row r="409" spans="1:21" ht="15.75" customHeight="1" x14ac:dyDescent="0.2">
      <c r="A409" s="33" t="s">
        <v>1341</v>
      </c>
      <c r="B409" s="13" t="s">
        <v>1342</v>
      </c>
      <c r="C409" s="13">
        <v>3</v>
      </c>
      <c r="D409" s="13"/>
      <c r="E409" s="13"/>
      <c r="F409" s="13"/>
      <c r="G409" s="20"/>
      <c r="H409" s="20"/>
      <c r="I409" s="13"/>
      <c r="J409" s="13"/>
      <c r="K409" s="13"/>
      <c r="L409" s="13"/>
      <c r="M409" s="13"/>
      <c r="N409" s="13"/>
      <c r="O409" s="13"/>
      <c r="P409" s="13"/>
      <c r="Q409" s="13"/>
      <c r="R409" s="13"/>
      <c r="S409" s="13"/>
      <c r="T409" s="13"/>
      <c r="U409" s="13"/>
    </row>
    <row r="410" spans="1:21" ht="15.75" customHeight="1" x14ac:dyDescent="0.2">
      <c r="A410" s="33" t="s">
        <v>1756</v>
      </c>
      <c r="B410" s="13" t="s">
        <v>1757</v>
      </c>
      <c r="C410" s="13">
        <v>5</v>
      </c>
      <c r="D410" s="13"/>
      <c r="E410" s="13"/>
      <c r="F410" s="13"/>
      <c r="G410" s="20"/>
      <c r="H410" s="20"/>
      <c r="I410" s="13"/>
      <c r="J410" s="13"/>
      <c r="K410" s="13"/>
      <c r="L410" s="13"/>
      <c r="M410" s="13"/>
      <c r="N410" s="13"/>
      <c r="O410" s="13"/>
      <c r="P410" s="13"/>
      <c r="Q410" s="13"/>
      <c r="R410" s="13"/>
      <c r="S410" s="13"/>
      <c r="T410" s="13"/>
      <c r="U410" s="13"/>
    </row>
    <row r="411" spans="1:21" ht="15.75" customHeight="1" x14ac:dyDescent="0.2">
      <c r="A411" s="33" t="s">
        <v>1343</v>
      </c>
      <c r="B411" s="13" t="s">
        <v>1344</v>
      </c>
      <c r="C411" s="13">
        <v>2</v>
      </c>
      <c r="D411" s="13"/>
      <c r="E411" s="13"/>
      <c r="F411" s="13"/>
      <c r="G411" s="20"/>
      <c r="H411" s="20"/>
      <c r="I411" s="13"/>
      <c r="J411" s="13"/>
      <c r="K411" s="13"/>
      <c r="L411" s="13"/>
      <c r="M411" s="13"/>
      <c r="N411" s="13"/>
      <c r="O411" s="13"/>
      <c r="P411" s="13"/>
      <c r="Q411" s="13"/>
      <c r="R411" s="13"/>
      <c r="S411" s="13"/>
      <c r="T411" s="13"/>
      <c r="U411" s="13"/>
    </row>
    <row r="412" spans="1:21" ht="15.75" customHeight="1" x14ac:dyDescent="0.2">
      <c r="A412" s="33" t="s">
        <v>1638</v>
      </c>
      <c r="B412" s="13" t="s">
        <v>1639</v>
      </c>
      <c r="C412" s="13">
        <v>6</v>
      </c>
      <c r="D412" s="13"/>
      <c r="E412" s="13"/>
      <c r="F412" s="13"/>
      <c r="G412" s="20"/>
      <c r="H412" s="20"/>
      <c r="I412" s="13"/>
      <c r="J412" s="13"/>
      <c r="K412" s="13"/>
      <c r="L412" s="13"/>
      <c r="M412" s="13"/>
      <c r="N412" s="13"/>
      <c r="O412" s="13"/>
      <c r="P412" s="13"/>
      <c r="Q412" s="13"/>
      <c r="R412" s="13"/>
      <c r="S412" s="13"/>
      <c r="T412" s="13"/>
      <c r="U412" s="13"/>
    </row>
    <row r="413" spans="1:21" ht="15.75" customHeight="1" x14ac:dyDescent="0.2">
      <c r="A413" s="33" t="s">
        <v>1832</v>
      </c>
      <c r="B413" s="13" t="s">
        <v>1833</v>
      </c>
      <c r="C413" s="13">
        <v>1</v>
      </c>
      <c r="D413" s="13"/>
      <c r="E413" s="13"/>
      <c r="F413" s="13"/>
      <c r="G413" s="20"/>
      <c r="H413" s="20"/>
      <c r="I413" s="13"/>
      <c r="J413" s="13"/>
      <c r="K413" s="13"/>
      <c r="L413" s="13"/>
      <c r="M413" s="13"/>
      <c r="N413" s="13"/>
      <c r="O413" s="13"/>
      <c r="P413" s="13"/>
      <c r="Q413" s="13"/>
      <c r="R413" s="13"/>
      <c r="S413" s="13"/>
      <c r="T413" s="13"/>
      <c r="U413" s="13"/>
    </row>
    <row r="414" spans="1:21" ht="15.75" customHeight="1" x14ac:dyDescent="0.2">
      <c r="A414" s="33" t="s">
        <v>1345</v>
      </c>
      <c r="B414" s="13" t="s">
        <v>1346</v>
      </c>
      <c r="C414" s="13">
        <v>3</v>
      </c>
      <c r="D414" s="13"/>
      <c r="E414" s="13"/>
      <c r="F414" s="13"/>
      <c r="G414" s="20"/>
      <c r="H414" s="20"/>
      <c r="I414" s="13"/>
      <c r="J414" s="13"/>
      <c r="K414" s="13"/>
      <c r="L414" s="13"/>
      <c r="M414" s="13"/>
      <c r="N414" s="13"/>
      <c r="O414" s="13"/>
      <c r="P414" s="13"/>
      <c r="Q414" s="13"/>
      <c r="R414" s="13"/>
      <c r="S414" s="13"/>
      <c r="T414" s="13"/>
      <c r="U414" s="13"/>
    </row>
    <row r="415" spans="1:21" ht="15.75" customHeight="1" x14ac:dyDescent="0.2">
      <c r="A415" s="33" t="s">
        <v>1535</v>
      </c>
      <c r="B415" s="13" t="s">
        <v>1536</v>
      </c>
      <c r="C415" s="13">
        <v>2</v>
      </c>
      <c r="D415" s="13"/>
      <c r="E415" s="13"/>
      <c r="F415" s="13"/>
      <c r="G415" s="20"/>
      <c r="H415" s="20"/>
      <c r="I415" s="13"/>
      <c r="J415" s="13"/>
      <c r="K415" s="13"/>
      <c r="L415" s="13"/>
      <c r="M415" s="13"/>
      <c r="N415" s="13"/>
      <c r="O415" s="13"/>
      <c r="P415" s="13"/>
      <c r="Q415" s="13"/>
      <c r="R415" s="13"/>
      <c r="S415" s="13"/>
      <c r="T415" s="13"/>
      <c r="U415" s="13"/>
    </row>
    <row r="416" spans="1:21" ht="15.75" customHeight="1" x14ac:dyDescent="0.2">
      <c r="A416" s="33" t="s">
        <v>1347</v>
      </c>
      <c r="B416" s="13" t="s">
        <v>1348</v>
      </c>
      <c r="C416" s="13">
        <v>3</v>
      </c>
      <c r="D416" s="13"/>
      <c r="E416" s="13"/>
      <c r="F416" s="13"/>
      <c r="G416" s="20"/>
      <c r="H416" s="20"/>
      <c r="I416" s="13"/>
      <c r="J416" s="13"/>
      <c r="K416" s="13"/>
      <c r="L416" s="13"/>
      <c r="M416" s="13"/>
      <c r="N416" s="13"/>
      <c r="O416" s="13"/>
      <c r="P416" s="13"/>
      <c r="Q416" s="13"/>
      <c r="R416" s="13"/>
      <c r="S416" s="13"/>
      <c r="T416" s="13"/>
      <c r="U416" s="13"/>
    </row>
    <row r="417" spans="1:21" ht="15.75" customHeight="1" x14ac:dyDescent="0.2">
      <c r="A417" s="33" t="s">
        <v>1349</v>
      </c>
      <c r="B417" s="13" t="s">
        <v>1350</v>
      </c>
      <c r="C417" s="13">
        <v>4</v>
      </c>
      <c r="D417" s="13"/>
      <c r="E417" s="13"/>
      <c r="F417" s="13"/>
      <c r="G417" s="20"/>
      <c r="H417" s="20"/>
      <c r="I417" s="13"/>
      <c r="J417" s="13"/>
      <c r="K417" s="13"/>
      <c r="L417" s="13"/>
      <c r="M417" s="13"/>
      <c r="N417" s="13"/>
      <c r="O417" s="13"/>
      <c r="P417" s="13"/>
      <c r="Q417" s="13"/>
      <c r="R417" s="13"/>
      <c r="S417" s="13"/>
      <c r="T417" s="13"/>
      <c r="U417" s="13"/>
    </row>
    <row r="418" spans="1:21" ht="15.75" customHeight="1" x14ac:dyDescent="0.2">
      <c r="A418" s="33" t="s">
        <v>1351</v>
      </c>
      <c r="B418" s="13" t="s">
        <v>1352</v>
      </c>
      <c r="C418" s="13">
        <v>1</v>
      </c>
      <c r="D418" s="13"/>
      <c r="E418" s="13"/>
      <c r="F418" s="13"/>
      <c r="G418" s="20"/>
      <c r="H418" s="20"/>
      <c r="I418" s="13"/>
      <c r="J418" s="13"/>
      <c r="K418" s="13"/>
      <c r="L418" s="13"/>
      <c r="M418" s="13"/>
      <c r="N418" s="13"/>
      <c r="O418" s="13"/>
      <c r="P418" s="13"/>
      <c r="Q418" s="13"/>
      <c r="R418" s="13"/>
      <c r="S418" s="13"/>
      <c r="T418" s="13"/>
      <c r="U418" s="13"/>
    </row>
    <row r="419" spans="1:21" ht="15.75" customHeight="1" x14ac:dyDescent="0.2">
      <c r="A419" s="33" t="s">
        <v>61</v>
      </c>
      <c r="B419" s="13" t="s">
        <v>1537</v>
      </c>
      <c r="C419" s="13">
        <v>2</v>
      </c>
      <c r="D419" s="13"/>
      <c r="E419" s="13"/>
      <c r="F419" s="13"/>
      <c r="G419" s="20"/>
      <c r="H419" s="20"/>
      <c r="I419" s="13"/>
      <c r="J419" s="13"/>
      <c r="K419" s="13"/>
      <c r="L419" s="13"/>
      <c r="M419" s="13"/>
      <c r="N419" s="13"/>
      <c r="O419" s="13"/>
      <c r="P419" s="13"/>
      <c r="Q419" s="13"/>
      <c r="R419" s="13"/>
      <c r="S419" s="13"/>
      <c r="T419" s="13"/>
      <c r="U419" s="13"/>
    </row>
    <row r="420" spans="1:21" ht="15.75" customHeight="1" x14ac:dyDescent="0.2">
      <c r="A420" s="33" t="s">
        <v>1538</v>
      </c>
      <c r="B420" s="13" t="s">
        <v>1539</v>
      </c>
      <c r="C420" s="13">
        <v>1</v>
      </c>
      <c r="D420" s="13"/>
      <c r="E420" s="13"/>
      <c r="F420" s="13"/>
      <c r="G420" s="20"/>
      <c r="H420" s="20"/>
      <c r="I420" s="13"/>
      <c r="J420" s="13"/>
      <c r="K420" s="13"/>
      <c r="L420" s="13"/>
      <c r="M420" s="13"/>
      <c r="N420" s="13"/>
      <c r="O420" s="13"/>
      <c r="P420" s="13"/>
      <c r="Q420" s="13"/>
      <c r="R420" s="13"/>
      <c r="S420" s="13"/>
      <c r="T420" s="13"/>
      <c r="U420" s="13"/>
    </row>
    <row r="421" spans="1:21" ht="15.75" customHeight="1" x14ac:dyDescent="0.2">
      <c r="A421" s="33" t="s">
        <v>1353</v>
      </c>
      <c r="B421" s="13" t="s">
        <v>1354</v>
      </c>
      <c r="C421" s="13">
        <v>2</v>
      </c>
      <c r="D421" s="13"/>
      <c r="E421" s="13"/>
      <c r="F421" s="13"/>
      <c r="G421" s="20"/>
      <c r="H421" s="20"/>
      <c r="I421" s="13"/>
      <c r="J421" s="13"/>
      <c r="K421" s="13"/>
      <c r="L421" s="13"/>
      <c r="M421" s="13"/>
      <c r="N421" s="13"/>
      <c r="O421" s="13"/>
      <c r="P421" s="13"/>
      <c r="Q421" s="13"/>
      <c r="R421" s="13"/>
      <c r="S421" s="13"/>
      <c r="T421" s="13"/>
      <c r="U421" s="13"/>
    </row>
    <row r="422" spans="1:21" ht="15.75" customHeight="1" x14ac:dyDescent="0.2">
      <c r="A422" s="33" t="s">
        <v>1758</v>
      </c>
      <c r="B422" s="13" t="s">
        <v>1759</v>
      </c>
      <c r="C422" s="13">
        <v>4</v>
      </c>
      <c r="D422" s="13"/>
      <c r="E422" s="13"/>
      <c r="F422" s="13"/>
      <c r="G422" s="20"/>
      <c r="H422" s="20"/>
      <c r="I422" s="13"/>
      <c r="J422" s="13"/>
      <c r="K422" s="13"/>
      <c r="L422" s="13"/>
      <c r="M422" s="13"/>
      <c r="N422" s="13"/>
      <c r="O422" s="13"/>
      <c r="P422" s="13"/>
      <c r="Q422" s="13"/>
      <c r="R422" s="13"/>
      <c r="S422" s="13"/>
      <c r="T422" s="13"/>
      <c r="U422" s="13"/>
    </row>
    <row r="423" spans="1:21" ht="15.75" customHeight="1" x14ac:dyDescent="0.2">
      <c r="A423" s="33" t="s">
        <v>1718</v>
      </c>
      <c r="B423" s="13" t="s">
        <v>1719</v>
      </c>
      <c r="C423" s="13">
        <v>3</v>
      </c>
      <c r="D423" s="13"/>
      <c r="E423" s="13"/>
      <c r="F423" s="13"/>
      <c r="G423" s="20"/>
      <c r="H423" s="20"/>
      <c r="I423" s="13"/>
      <c r="J423" s="13"/>
      <c r="K423" s="13"/>
      <c r="L423" s="13"/>
      <c r="M423" s="13"/>
      <c r="N423" s="13"/>
      <c r="O423" s="13"/>
      <c r="P423" s="13"/>
      <c r="Q423" s="13"/>
      <c r="R423" s="13"/>
      <c r="S423" s="13"/>
      <c r="T423" s="13"/>
      <c r="U423" s="13"/>
    </row>
    <row r="424" spans="1:21" ht="15.75" customHeight="1" x14ac:dyDescent="0.2">
      <c r="A424" s="33" t="s">
        <v>1720</v>
      </c>
      <c r="B424" s="13" t="s">
        <v>1721</v>
      </c>
      <c r="C424" s="13">
        <v>1</v>
      </c>
      <c r="D424" s="13"/>
      <c r="E424" s="13"/>
      <c r="F424" s="13"/>
      <c r="G424" s="20"/>
      <c r="H424" s="20"/>
      <c r="I424" s="13"/>
      <c r="J424" s="13"/>
      <c r="K424" s="13"/>
      <c r="L424" s="13"/>
      <c r="M424" s="13"/>
      <c r="N424" s="13"/>
      <c r="O424" s="13"/>
      <c r="P424" s="13"/>
      <c r="Q424" s="13"/>
      <c r="R424" s="13"/>
      <c r="S424" s="13"/>
      <c r="T424" s="13"/>
      <c r="U424" s="13"/>
    </row>
    <row r="425" spans="1:21" ht="15.75" customHeight="1" x14ac:dyDescent="0.2">
      <c r="A425" s="33" t="s">
        <v>1355</v>
      </c>
      <c r="B425" s="13">
        <v>66505</v>
      </c>
      <c r="C425" s="13">
        <v>2</v>
      </c>
      <c r="D425" s="13"/>
      <c r="E425" s="13"/>
      <c r="F425" s="13"/>
      <c r="G425" s="20"/>
      <c r="H425" s="20"/>
      <c r="I425" s="13"/>
      <c r="J425" s="13"/>
      <c r="K425" s="13"/>
      <c r="L425" s="13"/>
      <c r="M425" s="13"/>
      <c r="N425" s="13"/>
      <c r="O425" s="13"/>
      <c r="P425" s="13"/>
      <c r="Q425" s="13"/>
      <c r="R425" s="13"/>
      <c r="S425" s="13"/>
      <c r="T425" s="13"/>
      <c r="U425" s="13"/>
    </row>
    <row r="426" spans="1:21" ht="15.75" customHeight="1" x14ac:dyDescent="0.2">
      <c r="A426" s="33" t="s">
        <v>1356</v>
      </c>
      <c r="B426" s="13" t="s">
        <v>1357</v>
      </c>
      <c r="C426" s="13">
        <v>4</v>
      </c>
      <c r="D426" s="13"/>
      <c r="E426" s="13"/>
      <c r="F426" s="13"/>
      <c r="G426" s="20"/>
      <c r="H426" s="20"/>
      <c r="I426" s="13"/>
      <c r="J426" s="13"/>
      <c r="K426" s="13"/>
      <c r="L426" s="13"/>
      <c r="M426" s="13"/>
      <c r="N426" s="13"/>
      <c r="O426" s="13"/>
      <c r="P426" s="13"/>
      <c r="Q426" s="13"/>
      <c r="R426" s="13"/>
      <c r="S426" s="13"/>
      <c r="T426" s="13"/>
      <c r="U426" s="13"/>
    </row>
    <row r="427" spans="1:21" ht="15.75" customHeight="1" x14ac:dyDescent="0.2">
      <c r="A427" s="33" t="s">
        <v>1760</v>
      </c>
      <c r="B427" s="24" t="s">
        <v>1761</v>
      </c>
      <c r="C427" s="13">
        <v>4</v>
      </c>
      <c r="D427" s="13"/>
      <c r="E427" s="13"/>
      <c r="F427" s="13"/>
      <c r="G427" s="20"/>
      <c r="H427" s="20"/>
      <c r="I427" s="13"/>
      <c r="J427" s="13"/>
      <c r="K427" s="13"/>
      <c r="L427" s="13"/>
      <c r="M427" s="13"/>
      <c r="N427" s="13"/>
      <c r="O427" s="13"/>
      <c r="P427" s="13"/>
      <c r="Q427" s="13"/>
      <c r="R427" s="13"/>
      <c r="S427" s="13"/>
      <c r="T427" s="13"/>
      <c r="U427" s="13"/>
    </row>
    <row r="428" spans="1:21" ht="15.75" customHeight="1" x14ac:dyDescent="0.2">
      <c r="A428" s="33" t="s">
        <v>58</v>
      </c>
      <c r="B428" s="13" t="s">
        <v>1358</v>
      </c>
      <c r="C428" s="13">
        <v>1</v>
      </c>
      <c r="D428" s="13"/>
      <c r="E428" s="13"/>
      <c r="F428" s="13"/>
      <c r="G428" s="20"/>
      <c r="H428" s="20"/>
      <c r="I428" s="13"/>
      <c r="J428" s="13"/>
      <c r="K428" s="13"/>
      <c r="L428" s="13"/>
      <c r="M428" s="13"/>
      <c r="N428" s="13"/>
      <c r="O428" s="13"/>
      <c r="P428" s="13"/>
      <c r="Q428" s="13"/>
      <c r="R428" s="13"/>
      <c r="S428" s="13"/>
      <c r="T428" s="13"/>
      <c r="U428" s="13"/>
    </row>
    <row r="429" spans="1:21" ht="15.75" customHeight="1" x14ac:dyDescent="0.2">
      <c r="A429" s="33" t="s">
        <v>34</v>
      </c>
      <c r="B429" s="13" t="s">
        <v>1359</v>
      </c>
      <c r="C429" s="13">
        <v>1</v>
      </c>
      <c r="D429" s="13"/>
      <c r="E429" s="13"/>
      <c r="F429" s="13"/>
      <c r="G429" s="20"/>
      <c r="H429" s="20"/>
      <c r="I429" s="13"/>
      <c r="J429" s="13"/>
      <c r="K429" s="13"/>
      <c r="L429" s="13"/>
      <c r="M429" s="13"/>
      <c r="N429" s="13"/>
      <c r="O429" s="13"/>
      <c r="P429" s="13"/>
      <c r="Q429" s="13"/>
      <c r="R429" s="13"/>
      <c r="S429" s="13"/>
      <c r="T429" s="13"/>
      <c r="U429" s="13"/>
    </row>
    <row r="430" spans="1:21" ht="15.75" customHeight="1" x14ac:dyDescent="0.2">
      <c r="A430" s="33" t="s">
        <v>1360</v>
      </c>
      <c r="B430" s="13" t="s">
        <v>1361</v>
      </c>
      <c r="C430" s="13">
        <v>3</v>
      </c>
      <c r="D430" s="13"/>
      <c r="E430" s="13"/>
      <c r="F430" s="13"/>
      <c r="G430" s="20"/>
      <c r="H430" s="20"/>
      <c r="I430" s="13"/>
      <c r="J430" s="13"/>
      <c r="K430" s="13"/>
      <c r="L430" s="13"/>
      <c r="M430" s="13"/>
      <c r="N430" s="13"/>
      <c r="O430" s="13"/>
      <c r="P430" s="13"/>
      <c r="Q430" s="13"/>
      <c r="R430" s="13"/>
      <c r="S430" s="13"/>
      <c r="T430" s="13"/>
      <c r="U430" s="13"/>
    </row>
    <row r="431" spans="1:21" ht="15.75" customHeight="1" x14ac:dyDescent="0.2">
      <c r="A431" s="33" t="s">
        <v>55</v>
      </c>
      <c r="B431" s="13" t="s">
        <v>1540</v>
      </c>
      <c r="C431" s="13">
        <v>4</v>
      </c>
      <c r="D431" s="13"/>
      <c r="E431" s="13"/>
      <c r="F431" s="13"/>
      <c r="G431" s="20"/>
      <c r="H431" s="20"/>
      <c r="I431" s="13"/>
      <c r="J431" s="13"/>
      <c r="K431" s="13"/>
      <c r="L431" s="13"/>
      <c r="M431" s="13"/>
      <c r="N431" s="13"/>
      <c r="O431" s="13"/>
      <c r="P431" s="13"/>
      <c r="Q431" s="13"/>
      <c r="R431" s="13"/>
      <c r="S431" s="13"/>
      <c r="T431" s="13"/>
      <c r="U431" s="13"/>
    </row>
    <row r="432" spans="1:21" ht="15.75" customHeight="1" x14ac:dyDescent="0.2">
      <c r="A432" s="33" t="s">
        <v>1595</v>
      </c>
      <c r="B432" s="13" t="s">
        <v>1596</v>
      </c>
      <c r="C432" s="13">
        <v>1</v>
      </c>
      <c r="D432" s="13"/>
      <c r="E432" s="13"/>
      <c r="F432" s="13"/>
      <c r="G432" s="20"/>
      <c r="H432" s="20"/>
      <c r="I432" s="13"/>
      <c r="J432" s="13"/>
      <c r="K432" s="13"/>
      <c r="L432" s="13"/>
      <c r="M432" s="13"/>
      <c r="N432" s="13"/>
      <c r="O432" s="13"/>
      <c r="P432" s="13"/>
      <c r="Q432" s="13"/>
      <c r="R432" s="13"/>
      <c r="S432" s="13"/>
      <c r="T432" s="13"/>
      <c r="U432" s="13"/>
    </row>
    <row r="433" spans="1:21" ht="15.75" customHeight="1" x14ac:dyDescent="0.2">
      <c r="A433" s="33" t="s">
        <v>1362</v>
      </c>
      <c r="B433" s="13" t="s">
        <v>1363</v>
      </c>
      <c r="C433" s="13">
        <v>5</v>
      </c>
      <c r="D433" s="13"/>
      <c r="E433" s="13"/>
      <c r="F433" s="13"/>
      <c r="G433" s="20"/>
      <c r="H433" s="20"/>
      <c r="I433" s="13"/>
      <c r="J433" s="13"/>
      <c r="K433" s="13"/>
      <c r="L433" s="13"/>
      <c r="M433" s="13"/>
      <c r="N433" s="13"/>
      <c r="O433" s="13"/>
      <c r="P433" s="13"/>
      <c r="Q433" s="13"/>
      <c r="R433" s="13"/>
      <c r="S433" s="13"/>
      <c r="T433" s="13"/>
      <c r="U433" s="13"/>
    </row>
    <row r="434" spans="1:21" ht="15.75" customHeight="1" x14ac:dyDescent="0.2">
      <c r="A434" s="33" t="s">
        <v>1364</v>
      </c>
      <c r="B434" s="13">
        <v>72311</v>
      </c>
      <c r="C434" s="13">
        <v>1</v>
      </c>
      <c r="D434" s="13"/>
      <c r="E434" s="13"/>
      <c r="F434" s="13"/>
      <c r="G434" s="20"/>
      <c r="H434" s="20"/>
      <c r="I434" s="13"/>
      <c r="J434" s="13"/>
      <c r="K434" s="13"/>
      <c r="L434" s="13"/>
      <c r="M434" s="13"/>
      <c r="N434" s="13"/>
      <c r="O434" s="13"/>
      <c r="P434" s="13"/>
      <c r="Q434" s="13"/>
      <c r="R434" s="13"/>
      <c r="S434" s="13"/>
      <c r="T434" s="13"/>
      <c r="U434" s="13"/>
    </row>
    <row r="435" spans="1:21" ht="15.75" customHeight="1" x14ac:dyDescent="0.2">
      <c r="A435" s="33" t="s">
        <v>1365</v>
      </c>
      <c r="B435" s="13" t="s">
        <v>1366</v>
      </c>
      <c r="C435" s="13">
        <v>2</v>
      </c>
      <c r="D435" s="13"/>
      <c r="E435" s="13"/>
      <c r="F435" s="13"/>
      <c r="G435" s="20"/>
      <c r="H435" s="20"/>
      <c r="I435" s="13"/>
      <c r="J435" s="13"/>
      <c r="K435" s="13"/>
      <c r="L435" s="13"/>
      <c r="M435" s="13"/>
      <c r="N435" s="13"/>
      <c r="O435" s="13"/>
      <c r="P435" s="13"/>
      <c r="Q435" s="13"/>
      <c r="R435" s="13"/>
      <c r="S435" s="13"/>
      <c r="T435" s="13"/>
      <c r="U435" s="13"/>
    </row>
    <row r="436" spans="1:21" ht="15.75" customHeight="1" x14ac:dyDescent="0.2">
      <c r="A436" s="33" t="s">
        <v>1367</v>
      </c>
      <c r="B436" s="13" t="s">
        <v>1368</v>
      </c>
      <c r="C436" s="13">
        <v>1</v>
      </c>
      <c r="D436" s="13"/>
      <c r="E436" s="13"/>
      <c r="F436" s="13"/>
      <c r="G436" s="20"/>
      <c r="H436" s="20"/>
      <c r="I436" s="13"/>
      <c r="J436" s="13"/>
      <c r="K436" s="13"/>
      <c r="L436" s="13"/>
      <c r="M436" s="13"/>
      <c r="N436" s="13"/>
      <c r="O436" s="13"/>
      <c r="P436" s="13"/>
      <c r="Q436" s="13"/>
      <c r="R436" s="13"/>
      <c r="S436" s="13"/>
      <c r="T436" s="13"/>
      <c r="U436" s="13"/>
    </row>
    <row r="437" spans="1:21" ht="15.75" customHeight="1" x14ac:dyDescent="0.2">
      <c r="A437" s="33" t="s">
        <v>1369</v>
      </c>
      <c r="B437" s="13" t="s">
        <v>1370</v>
      </c>
      <c r="C437" s="13">
        <v>4</v>
      </c>
      <c r="D437" s="13"/>
      <c r="E437" s="13"/>
      <c r="F437" s="13"/>
      <c r="G437" s="20"/>
      <c r="H437" s="20"/>
      <c r="I437" s="13"/>
      <c r="J437" s="13"/>
      <c r="K437" s="13"/>
      <c r="L437" s="13"/>
      <c r="M437" s="13"/>
      <c r="N437" s="13"/>
      <c r="O437" s="13"/>
      <c r="P437" s="13"/>
      <c r="Q437" s="13"/>
      <c r="R437" s="13"/>
      <c r="S437" s="13"/>
      <c r="T437" s="13"/>
      <c r="U437" s="13"/>
    </row>
    <row r="438" spans="1:21" ht="15.75" customHeight="1" x14ac:dyDescent="0.2">
      <c r="A438" s="33" t="s">
        <v>1541</v>
      </c>
      <c r="B438" s="13" t="s">
        <v>1542</v>
      </c>
      <c r="C438" s="13">
        <v>2</v>
      </c>
      <c r="D438" s="13"/>
      <c r="E438" s="13"/>
      <c r="F438" s="13"/>
      <c r="G438" s="20"/>
      <c r="H438" s="20"/>
      <c r="I438" s="13"/>
      <c r="J438" s="13"/>
      <c r="K438" s="13"/>
      <c r="L438" s="13"/>
      <c r="M438" s="13"/>
      <c r="N438" s="13"/>
      <c r="O438" s="13"/>
      <c r="P438" s="13"/>
      <c r="Q438" s="13"/>
      <c r="R438" s="13"/>
      <c r="S438" s="13"/>
      <c r="T438" s="13"/>
      <c r="U438" s="13"/>
    </row>
    <row r="439" spans="1:21" ht="15.75" customHeight="1" x14ac:dyDescent="0.2">
      <c r="A439" s="33" t="s">
        <v>1762</v>
      </c>
      <c r="B439" s="13" t="s">
        <v>1763</v>
      </c>
      <c r="C439" s="13">
        <v>1</v>
      </c>
      <c r="D439" s="13"/>
      <c r="E439" s="13"/>
      <c r="F439" s="13"/>
      <c r="G439" s="20"/>
      <c r="H439" s="20"/>
      <c r="I439" s="13"/>
      <c r="J439" s="13"/>
      <c r="K439" s="13"/>
      <c r="L439" s="13"/>
      <c r="M439" s="13"/>
      <c r="N439" s="13"/>
      <c r="O439" s="13"/>
      <c r="P439" s="13"/>
      <c r="Q439" s="13"/>
      <c r="R439" s="13"/>
      <c r="S439" s="13"/>
      <c r="T439" s="13"/>
      <c r="U439" s="13"/>
    </row>
    <row r="440" spans="1:21" ht="15.75" customHeight="1" x14ac:dyDescent="0.2">
      <c r="A440" s="33" t="s">
        <v>1543</v>
      </c>
      <c r="B440" s="13" t="s">
        <v>1544</v>
      </c>
      <c r="C440" s="13">
        <v>2</v>
      </c>
      <c r="D440" s="13"/>
      <c r="E440" s="13"/>
      <c r="F440" s="13"/>
      <c r="G440" s="20"/>
      <c r="H440" s="20"/>
      <c r="I440" s="13"/>
      <c r="J440" s="13"/>
      <c r="K440" s="13"/>
      <c r="L440" s="13"/>
      <c r="M440" s="13"/>
      <c r="N440" s="13"/>
      <c r="O440" s="13"/>
      <c r="P440" s="13"/>
      <c r="Q440" s="13"/>
      <c r="R440" s="13"/>
      <c r="S440" s="13"/>
      <c r="T440" s="13"/>
      <c r="U440" s="13"/>
    </row>
    <row r="441" spans="1:21" ht="15.75" customHeight="1" x14ac:dyDescent="0.2">
      <c r="A441" s="33" t="s">
        <v>1371</v>
      </c>
      <c r="B441" s="13" t="s">
        <v>1372</v>
      </c>
      <c r="C441" s="13">
        <v>4</v>
      </c>
      <c r="D441" s="13"/>
      <c r="E441" s="13"/>
      <c r="F441" s="13"/>
      <c r="G441" s="20"/>
      <c r="H441" s="20"/>
      <c r="I441" s="13"/>
      <c r="J441" s="13"/>
      <c r="K441" s="13"/>
      <c r="L441" s="13"/>
      <c r="M441" s="13"/>
      <c r="N441" s="13"/>
      <c r="O441" s="13"/>
      <c r="P441" s="13"/>
      <c r="Q441" s="13"/>
      <c r="R441" s="13"/>
      <c r="S441" s="13"/>
      <c r="T441" s="13"/>
      <c r="U441" s="13"/>
    </row>
    <row r="442" spans="1:21" ht="15.75" customHeight="1" x14ac:dyDescent="0.2">
      <c r="A442" s="33" t="s">
        <v>1611</v>
      </c>
      <c r="B442" s="13" t="s">
        <v>1612</v>
      </c>
      <c r="C442" s="13">
        <v>3</v>
      </c>
      <c r="D442" s="13"/>
      <c r="E442" s="13"/>
      <c r="F442" s="13"/>
      <c r="G442" s="20"/>
      <c r="H442" s="20"/>
      <c r="I442" s="13"/>
      <c r="J442" s="13"/>
      <c r="K442" s="13"/>
      <c r="L442" s="13"/>
      <c r="M442" s="13"/>
      <c r="N442" s="13"/>
      <c r="O442" s="13"/>
      <c r="P442" s="13"/>
      <c r="Q442" s="13"/>
      <c r="R442" s="13"/>
      <c r="S442" s="13"/>
      <c r="T442" s="13"/>
      <c r="U442" s="13"/>
    </row>
    <row r="443" spans="1:21" ht="15.75" customHeight="1" x14ac:dyDescent="0.2">
      <c r="A443" s="33" t="s">
        <v>1597</v>
      </c>
      <c r="B443" s="13" t="s">
        <v>1599</v>
      </c>
      <c r="C443" s="13">
        <v>1</v>
      </c>
      <c r="D443" s="13"/>
      <c r="E443" s="13"/>
      <c r="F443" s="13"/>
      <c r="G443" s="20"/>
      <c r="H443" s="20"/>
      <c r="I443" s="13"/>
      <c r="J443" s="13"/>
      <c r="K443" s="13"/>
      <c r="L443" s="13"/>
      <c r="M443" s="13"/>
      <c r="N443" s="13"/>
      <c r="O443" s="13"/>
      <c r="P443" s="13"/>
      <c r="Q443" s="13"/>
      <c r="R443" s="13"/>
      <c r="S443" s="13"/>
      <c r="T443" s="13"/>
      <c r="U443" s="13"/>
    </row>
    <row r="444" spans="1:21" ht="15.75" customHeight="1" x14ac:dyDescent="0.2">
      <c r="A444" s="33" t="s">
        <v>1373</v>
      </c>
      <c r="B444" s="13" t="s">
        <v>1374</v>
      </c>
      <c r="C444" s="13">
        <v>2</v>
      </c>
      <c r="D444" s="13"/>
      <c r="E444" s="13"/>
      <c r="F444" s="13"/>
      <c r="G444" s="20"/>
      <c r="H444" s="20"/>
      <c r="I444" s="13"/>
      <c r="J444" s="13"/>
      <c r="K444" s="13"/>
      <c r="L444" s="13"/>
      <c r="M444" s="13"/>
      <c r="N444" s="13"/>
      <c r="O444" s="13"/>
      <c r="P444" s="13"/>
      <c r="Q444" s="13"/>
      <c r="R444" s="13"/>
      <c r="S444" s="13"/>
      <c r="T444" s="13"/>
      <c r="U444" s="13"/>
    </row>
    <row r="445" spans="1:21" ht="15.75" customHeight="1" x14ac:dyDescent="0.2">
      <c r="A445" s="33" t="s">
        <v>1375</v>
      </c>
      <c r="B445" s="13">
        <v>74533</v>
      </c>
      <c r="C445" s="13">
        <v>1</v>
      </c>
      <c r="D445" s="13"/>
      <c r="E445" s="13"/>
      <c r="F445" s="13"/>
      <c r="G445" s="20"/>
      <c r="H445" s="20"/>
      <c r="I445" s="13"/>
      <c r="J445" s="13"/>
      <c r="K445" s="13"/>
      <c r="L445" s="13"/>
      <c r="M445" s="13"/>
      <c r="N445" s="13"/>
      <c r="O445" s="13"/>
      <c r="P445" s="13"/>
      <c r="Q445" s="13"/>
      <c r="R445" s="13"/>
      <c r="S445" s="13"/>
      <c r="T445" s="13"/>
      <c r="U445" s="13"/>
    </row>
    <row r="446" spans="1:21" ht="15.75" customHeight="1" x14ac:dyDescent="0.2">
      <c r="A446" s="33" t="s">
        <v>1545</v>
      </c>
      <c r="B446" s="13" t="s">
        <v>1546</v>
      </c>
      <c r="C446" s="13">
        <v>3</v>
      </c>
      <c r="D446" s="13"/>
      <c r="E446" s="13"/>
      <c r="F446" s="13"/>
      <c r="G446" s="20"/>
      <c r="H446" s="20"/>
      <c r="I446" s="13"/>
      <c r="J446" s="13"/>
      <c r="K446" s="13"/>
      <c r="L446" s="13"/>
      <c r="M446" s="13"/>
      <c r="N446" s="13"/>
      <c r="O446" s="13"/>
      <c r="P446" s="13"/>
      <c r="Q446" s="13"/>
      <c r="R446" s="13"/>
      <c r="S446" s="13"/>
      <c r="T446" s="13"/>
      <c r="U446" s="13"/>
    </row>
    <row r="447" spans="1:21" ht="15.75" customHeight="1" x14ac:dyDescent="0.2">
      <c r="A447" s="33" t="s">
        <v>1376</v>
      </c>
      <c r="B447" s="13" t="s">
        <v>1377</v>
      </c>
      <c r="C447" s="13">
        <v>2</v>
      </c>
      <c r="D447" s="13"/>
      <c r="E447" s="13"/>
      <c r="F447" s="13"/>
      <c r="G447" s="20"/>
      <c r="H447" s="20"/>
      <c r="I447" s="13"/>
      <c r="J447" s="13"/>
      <c r="K447" s="13"/>
      <c r="L447" s="13"/>
      <c r="M447" s="13"/>
      <c r="N447" s="13"/>
      <c r="O447" s="13"/>
      <c r="P447" s="13"/>
      <c r="Q447" s="13"/>
      <c r="R447" s="13"/>
      <c r="S447" s="13"/>
      <c r="T447" s="13"/>
      <c r="U447" s="13"/>
    </row>
    <row r="448" spans="1:21" ht="15.75" customHeight="1" x14ac:dyDescent="0.2">
      <c r="A448" s="33" t="s">
        <v>1378</v>
      </c>
      <c r="B448" s="13" t="s">
        <v>1379</v>
      </c>
      <c r="C448" s="13">
        <v>2</v>
      </c>
      <c r="D448" s="13"/>
      <c r="E448" s="13"/>
      <c r="F448" s="13"/>
      <c r="G448" s="20"/>
      <c r="H448" s="20"/>
      <c r="I448" s="13"/>
      <c r="J448" s="13"/>
      <c r="K448" s="13"/>
      <c r="L448" s="13"/>
      <c r="M448" s="13"/>
      <c r="N448" s="13"/>
      <c r="O448" s="13"/>
      <c r="P448" s="13"/>
      <c r="Q448" s="13"/>
      <c r="R448" s="13"/>
      <c r="S448" s="13"/>
      <c r="T448" s="13"/>
      <c r="U448" s="13"/>
    </row>
    <row r="449" spans="1:21" ht="15.75" customHeight="1" x14ac:dyDescent="0.2">
      <c r="A449" s="33" t="s">
        <v>1380</v>
      </c>
      <c r="B449" s="13" t="s">
        <v>1381</v>
      </c>
      <c r="C449" s="13">
        <v>2</v>
      </c>
      <c r="D449" s="13"/>
      <c r="E449" s="13"/>
      <c r="F449" s="13"/>
      <c r="G449" s="20"/>
      <c r="H449" s="20"/>
      <c r="I449" s="13"/>
      <c r="J449" s="13"/>
      <c r="K449" s="13"/>
      <c r="L449" s="13"/>
      <c r="M449" s="13"/>
      <c r="N449" s="13"/>
      <c r="O449" s="13"/>
      <c r="P449" s="13"/>
      <c r="Q449" s="13"/>
      <c r="R449" s="13"/>
      <c r="S449" s="13"/>
      <c r="T449" s="13"/>
      <c r="U449" s="13"/>
    </row>
    <row r="450" spans="1:21" ht="15.75" customHeight="1" x14ac:dyDescent="0.2">
      <c r="A450" s="33" t="s">
        <v>1764</v>
      </c>
      <c r="B450" s="13" t="s">
        <v>1765</v>
      </c>
      <c r="C450" s="13">
        <v>3</v>
      </c>
      <c r="D450" s="13"/>
      <c r="E450" s="13"/>
      <c r="F450" s="13"/>
      <c r="G450" s="20"/>
      <c r="H450" s="20"/>
      <c r="I450" s="13"/>
      <c r="J450" s="13"/>
      <c r="K450" s="13"/>
      <c r="L450" s="13"/>
      <c r="M450" s="13"/>
      <c r="N450" s="13"/>
      <c r="O450" s="13"/>
      <c r="P450" s="13"/>
      <c r="Q450" s="13"/>
      <c r="R450" s="13"/>
      <c r="S450" s="13"/>
      <c r="T450" s="13"/>
      <c r="U450" s="13"/>
    </row>
    <row r="451" spans="1:21" ht="15.75" customHeight="1" x14ac:dyDescent="0.2">
      <c r="A451" s="33" t="s">
        <v>1605</v>
      </c>
      <c r="B451" s="13" t="s">
        <v>1606</v>
      </c>
      <c r="C451" s="13">
        <v>4</v>
      </c>
      <c r="D451" s="13"/>
      <c r="E451" s="13"/>
      <c r="F451" s="13"/>
      <c r="G451" s="20"/>
      <c r="H451" s="20"/>
      <c r="I451" s="13"/>
      <c r="J451" s="13"/>
      <c r="K451" s="13"/>
      <c r="L451" s="13"/>
      <c r="M451" s="13"/>
      <c r="N451" s="13"/>
      <c r="O451" s="13"/>
      <c r="P451" s="13"/>
      <c r="Q451" s="13"/>
      <c r="R451" s="13"/>
      <c r="S451" s="13"/>
      <c r="T451" s="13"/>
      <c r="U451" s="13"/>
    </row>
    <row r="452" spans="1:21" ht="15.75" customHeight="1" x14ac:dyDescent="0.2">
      <c r="A452" s="33" t="s">
        <v>1382</v>
      </c>
      <c r="B452" s="13" t="s">
        <v>1383</v>
      </c>
      <c r="C452" s="13">
        <v>1</v>
      </c>
      <c r="D452" s="13"/>
      <c r="E452" s="13"/>
      <c r="F452" s="13"/>
      <c r="G452" s="20"/>
      <c r="H452" s="20"/>
      <c r="I452" s="13"/>
      <c r="J452" s="13"/>
      <c r="K452" s="13"/>
      <c r="L452" s="13"/>
      <c r="M452" s="13"/>
      <c r="N452" s="13"/>
      <c r="O452" s="13"/>
      <c r="P452" s="13"/>
      <c r="Q452" s="13"/>
      <c r="R452" s="13"/>
      <c r="S452" s="13"/>
      <c r="T452" s="13"/>
      <c r="U452" s="13"/>
    </row>
    <row r="453" spans="1:21" ht="15.75" customHeight="1" x14ac:dyDescent="0.2">
      <c r="A453" s="33" t="s">
        <v>1613</v>
      </c>
      <c r="B453" s="13" t="s">
        <v>1614</v>
      </c>
      <c r="C453" s="13">
        <v>1</v>
      </c>
      <c r="D453" s="13"/>
      <c r="E453" s="13"/>
      <c r="F453" s="13"/>
      <c r="G453" s="20"/>
      <c r="H453" s="20"/>
      <c r="I453" s="13"/>
      <c r="J453" s="13"/>
      <c r="K453" s="13"/>
      <c r="L453" s="13"/>
      <c r="M453" s="13"/>
      <c r="N453" s="13"/>
      <c r="O453" s="13"/>
      <c r="P453" s="13"/>
      <c r="Q453" s="13"/>
      <c r="R453" s="13"/>
      <c r="S453" s="13"/>
      <c r="T453" s="13"/>
      <c r="U453" s="13"/>
    </row>
    <row r="454" spans="1:21" ht="15.75" customHeight="1" x14ac:dyDescent="0.2">
      <c r="A454" s="33" t="s">
        <v>1384</v>
      </c>
      <c r="B454" s="13" t="s">
        <v>1385</v>
      </c>
      <c r="C454" s="13">
        <v>1</v>
      </c>
      <c r="D454" s="13"/>
      <c r="E454" s="13"/>
      <c r="F454" s="13"/>
      <c r="G454" s="20"/>
      <c r="H454" s="20"/>
      <c r="I454" s="13"/>
      <c r="J454" s="13"/>
      <c r="K454" s="13"/>
      <c r="L454" s="13"/>
      <c r="M454" s="13"/>
      <c r="N454" s="13"/>
      <c r="O454" s="13"/>
      <c r="P454" s="13"/>
      <c r="Q454" s="13"/>
      <c r="R454" s="13"/>
      <c r="S454" s="13"/>
      <c r="T454" s="13"/>
      <c r="U454" s="13"/>
    </row>
    <row r="455" spans="1:21" ht="15.75" customHeight="1" x14ac:dyDescent="0.2">
      <c r="A455" s="33" t="s">
        <v>1547</v>
      </c>
      <c r="B455" s="13" t="s">
        <v>1548</v>
      </c>
      <c r="C455" s="13">
        <v>2</v>
      </c>
      <c r="D455" s="13"/>
      <c r="E455" s="13"/>
      <c r="F455" s="13"/>
      <c r="G455" s="20"/>
      <c r="H455" s="20"/>
      <c r="I455" s="13"/>
      <c r="J455" s="13"/>
      <c r="K455" s="13"/>
      <c r="L455" s="13"/>
      <c r="M455" s="13"/>
      <c r="N455" s="13"/>
      <c r="O455" s="13"/>
      <c r="P455" s="13"/>
      <c r="Q455" s="13"/>
      <c r="R455" s="13"/>
      <c r="S455" s="13"/>
      <c r="T455" s="13"/>
      <c r="U455" s="13"/>
    </row>
    <row r="456" spans="1:21" ht="15.75" customHeight="1" x14ac:dyDescent="0.2">
      <c r="A456" s="33" t="s">
        <v>1386</v>
      </c>
      <c r="B456" s="24">
        <v>3070</v>
      </c>
      <c r="C456" s="13">
        <v>4</v>
      </c>
      <c r="D456" s="13"/>
      <c r="E456" s="13"/>
      <c r="F456" s="13"/>
      <c r="G456" s="20"/>
      <c r="H456" s="20"/>
      <c r="I456" s="13"/>
      <c r="J456" s="13"/>
      <c r="K456" s="13"/>
      <c r="L456" s="13"/>
      <c r="M456" s="13"/>
      <c r="N456" s="13"/>
      <c r="O456" s="13"/>
      <c r="P456" s="13"/>
      <c r="Q456" s="13"/>
      <c r="R456" s="13"/>
      <c r="S456" s="13"/>
      <c r="T456" s="13"/>
      <c r="U456" s="13"/>
    </row>
    <row r="457" spans="1:21" ht="15.75" customHeight="1" x14ac:dyDescent="0.2">
      <c r="A457" s="33" t="s">
        <v>1766</v>
      </c>
      <c r="B457" s="13" t="s">
        <v>1767</v>
      </c>
      <c r="C457" s="13">
        <v>5</v>
      </c>
      <c r="D457" s="13"/>
      <c r="E457" s="13"/>
      <c r="F457" s="13"/>
      <c r="G457" s="20"/>
      <c r="H457" s="20"/>
      <c r="I457" s="13"/>
      <c r="J457" s="13"/>
      <c r="K457" s="13"/>
      <c r="L457" s="13"/>
      <c r="M457" s="13"/>
      <c r="N457" s="13"/>
      <c r="O457" s="13"/>
      <c r="P457" s="13"/>
      <c r="Q457" s="13"/>
      <c r="R457" s="13"/>
      <c r="S457" s="13"/>
      <c r="T457" s="13"/>
      <c r="U457" s="13"/>
    </row>
    <row r="458" spans="1:21" ht="15.75" customHeight="1" x14ac:dyDescent="0.2">
      <c r="A458" s="33" t="s">
        <v>1549</v>
      </c>
      <c r="B458" s="13" t="s">
        <v>1550</v>
      </c>
      <c r="C458" s="13">
        <v>3</v>
      </c>
      <c r="D458" s="13"/>
      <c r="E458" s="13"/>
      <c r="F458" s="13"/>
      <c r="G458" s="20"/>
      <c r="H458" s="20"/>
      <c r="I458" s="13"/>
      <c r="J458" s="13"/>
      <c r="K458" s="13"/>
      <c r="L458" s="13"/>
      <c r="M458" s="13"/>
      <c r="N458" s="13"/>
      <c r="O458" s="13"/>
      <c r="P458" s="13"/>
      <c r="Q458" s="13"/>
      <c r="R458" s="13"/>
      <c r="S458" s="13"/>
      <c r="T458" s="13"/>
      <c r="U458" s="13"/>
    </row>
    <row r="459" spans="1:21" ht="15.75" customHeight="1" x14ac:dyDescent="0.2">
      <c r="A459" s="33" t="s">
        <v>1834</v>
      </c>
      <c r="B459" s="13" t="s">
        <v>1835</v>
      </c>
      <c r="C459" s="13">
        <v>1</v>
      </c>
      <c r="D459" s="13"/>
      <c r="E459" s="13"/>
      <c r="F459" s="13"/>
      <c r="G459" s="20"/>
      <c r="H459" s="20"/>
      <c r="I459" s="13"/>
      <c r="J459" s="13"/>
      <c r="K459" s="13"/>
      <c r="L459" s="13"/>
      <c r="M459" s="13"/>
      <c r="N459" s="13"/>
      <c r="O459" s="13"/>
      <c r="P459" s="13"/>
      <c r="Q459" s="13"/>
      <c r="R459" s="13"/>
      <c r="S459" s="13"/>
      <c r="T459" s="13"/>
      <c r="U459" s="13"/>
    </row>
    <row r="460" spans="1:21" ht="15.75" customHeight="1" x14ac:dyDescent="0.2">
      <c r="A460" s="33" t="s">
        <v>1615</v>
      </c>
      <c r="B460" s="13" t="s">
        <v>1616</v>
      </c>
      <c r="C460" s="13">
        <v>1</v>
      </c>
      <c r="D460" s="13"/>
      <c r="E460" s="13"/>
      <c r="F460" s="13"/>
      <c r="G460" s="20"/>
      <c r="H460" s="20"/>
      <c r="I460" s="13"/>
      <c r="J460" s="13"/>
      <c r="K460" s="13"/>
      <c r="L460" s="13"/>
      <c r="M460" s="13"/>
      <c r="N460" s="13"/>
      <c r="O460" s="13"/>
      <c r="P460" s="13"/>
      <c r="Q460" s="13"/>
      <c r="R460" s="13"/>
      <c r="S460" s="13"/>
      <c r="T460" s="13"/>
      <c r="U460" s="13"/>
    </row>
    <row r="461" spans="1:21" ht="15.75" customHeight="1" x14ac:dyDescent="0.2">
      <c r="A461" s="33" t="s">
        <v>1617</v>
      </c>
      <c r="B461" s="13" t="s">
        <v>1618</v>
      </c>
      <c r="C461" s="13">
        <v>1</v>
      </c>
      <c r="D461" s="13"/>
      <c r="E461" s="13"/>
      <c r="F461" s="13"/>
      <c r="G461" s="20"/>
      <c r="H461" s="20"/>
      <c r="I461" s="13"/>
      <c r="J461" s="13"/>
      <c r="K461" s="13"/>
      <c r="L461" s="13"/>
      <c r="M461" s="13"/>
      <c r="N461" s="13"/>
      <c r="O461" s="13"/>
      <c r="P461" s="13"/>
      <c r="Q461" s="13"/>
      <c r="R461" s="13"/>
      <c r="S461" s="13"/>
      <c r="T461" s="13"/>
      <c r="U461" s="13"/>
    </row>
    <row r="462" spans="1:21" ht="15.75" customHeight="1" x14ac:dyDescent="0.2">
      <c r="A462" s="33" t="s">
        <v>1710</v>
      </c>
      <c r="B462" s="13" t="s">
        <v>1711</v>
      </c>
      <c r="C462" s="13">
        <v>2</v>
      </c>
      <c r="D462" s="13"/>
      <c r="E462" s="13"/>
      <c r="F462" s="13"/>
      <c r="G462" s="20"/>
      <c r="H462" s="20"/>
      <c r="I462" s="13"/>
      <c r="J462" s="13"/>
      <c r="K462" s="13"/>
      <c r="L462" s="13"/>
      <c r="M462" s="13"/>
      <c r="N462" s="13"/>
      <c r="O462" s="13"/>
      <c r="P462" s="13"/>
      <c r="Q462" s="13"/>
      <c r="R462" s="13"/>
      <c r="S462" s="13"/>
      <c r="T462" s="13"/>
      <c r="U462" s="13"/>
    </row>
    <row r="463" spans="1:21" ht="15.75" customHeight="1" x14ac:dyDescent="0.2">
      <c r="A463" s="33" t="s">
        <v>1387</v>
      </c>
      <c r="B463" s="13" t="s">
        <v>1388</v>
      </c>
      <c r="C463" s="13">
        <v>5</v>
      </c>
      <c r="D463" s="13"/>
      <c r="E463" s="13"/>
      <c r="F463" s="13"/>
      <c r="G463" s="20"/>
      <c r="H463" s="20"/>
      <c r="I463" s="13"/>
      <c r="J463" s="13"/>
      <c r="K463" s="13"/>
      <c r="L463" s="13"/>
      <c r="M463" s="13"/>
      <c r="N463" s="13"/>
      <c r="O463" s="13"/>
      <c r="P463" s="13"/>
      <c r="Q463" s="13"/>
      <c r="R463" s="13"/>
      <c r="S463" s="13"/>
      <c r="T463" s="13"/>
      <c r="U463" s="13"/>
    </row>
    <row r="464" spans="1:21" ht="15.75" customHeight="1" x14ac:dyDescent="0.2">
      <c r="A464" s="33" t="s">
        <v>1551</v>
      </c>
      <c r="B464" s="13" t="s">
        <v>1552</v>
      </c>
      <c r="C464" s="13">
        <v>2</v>
      </c>
      <c r="D464" s="13"/>
      <c r="E464" s="13"/>
      <c r="F464" s="13"/>
      <c r="G464" s="20"/>
      <c r="H464" s="20"/>
      <c r="I464" s="13"/>
      <c r="J464" s="13"/>
      <c r="K464" s="13"/>
      <c r="L464" s="13"/>
      <c r="M464" s="13"/>
      <c r="N464" s="13"/>
      <c r="O464" s="13"/>
      <c r="P464" s="13"/>
      <c r="Q464" s="13"/>
      <c r="R464" s="13"/>
      <c r="S464" s="13"/>
      <c r="T464" s="13"/>
      <c r="U464" s="13"/>
    </row>
    <row r="465" spans="1:21" ht="15.75" customHeight="1" x14ac:dyDescent="0.2">
      <c r="A465" s="33" t="s">
        <v>1553</v>
      </c>
      <c r="B465" s="13" t="s">
        <v>1554</v>
      </c>
      <c r="C465" s="13">
        <v>1</v>
      </c>
      <c r="D465" s="13"/>
      <c r="E465" s="13"/>
      <c r="F465" s="13"/>
      <c r="G465" s="20"/>
      <c r="H465" s="20"/>
      <c r="I465" s="13"/>
      <c r="J465" s="13"/>
      <c r="K465" s="13"/>
      <c r="L465" s="13"/>
      <c r="M465" s="13"/>
      <c r="N465" s="13"/>
      <c r="O465" s="13"/>
      <c r="P465" s="13"/>
      <c r="Q465" s="13"/>
      <c r="R465" s="13"/>
      <c r="S465" s="13"/>
      <c r="T465" s="13"/>
      <c r="U465" s="13"/>
    </row>
    <row r="466" spans="1:21" ht="15.75" customHeight="1" x14ac:dyDescent="0.2">
      <c r="A466" s="33" t="s">
        <v>1389</v>
      </c>
      <c r="B466" s="13" t="s">
        <v>1390</v>
      </c>
      <c r="C466" s="13">
        <v>8</v>
      </c>
      <c r="D466" s="13"/>
      <c r="E466" s="13"/>
      <c r="F466" s="13"/>
      <c r="G466" s="20"/>
      <c r="H466" s="20"/>
      <c r="I466" s="13"/>
      <c r="J466" s="13"/>
      <c r="K466" s="13"/>
      <c r="L466" s="13"/>
      <c r="M466" s="13"/>
      <c r="N466" s="13"/>
      <c r="O466" s="13"/>
      <c r="P466" s="13"/>
      <c r="Q466" s="13"/>
      <c r="R466" s="13"/>
      <c r="S466" s="13"/>
      <c r="T466" s="13"/>
      <c r="U466" s="13"/>
    </row>
    <row r="467" spans="1:21" ht="15.75" customHeight="1" x14ac:dyDescent="0.2">
      <c r="A467" s="33" t="s">
        <v>1391</v>
      </c>
      <c r="B467" s="13">
        <v>56115</v>
      </c>
      <c r="C467" s="13">
        <v>1</v>
      </c>
      <c r="D467" s="13"/>
      <c r="E467" s="13"/>
      <c r="F467" s="13"/>
      <c r="G467" s="20"/>
      <c r="H467" s="20"/>
      <c r="I467" s="13"/>
      <c r="J467" s="13"/>
      <c r="K467" s="13"/>
      <c r="L467" s="13"/>
      <c r="M467" s="13"/>
      <c r="N467" s="13"/>
      <c r="O467" s="13"/>
      <c r="P467" s="13"/>
      <c r="Q467" s="13"/>
      <c r="R467" s="13"/>
      <c r="S467" s="13"/>
      <c r="T467" s="13"/>
      <c r="U467" s="13"/>
    </row>
    <row r="468" spans="1:21" ht="15.75" customHeight="1" x14ac:dyDescent="0.2">
      <c r="A468" s="33" t="s">
        <v>82</v>
      </c>
      <c r="B468" s="13">
        <v>99452</v>
      </c>
      <c r="C468" s="13">
        <v>2</v>
      </c>
      <c r="D468" s="13"/>
      <c r="E468" s="13"/>
      <c r="F468" s="13"/>
      <c r="G468" s="20"/>
      <c r="H468" s="20"/>
      <c r="I468" s="13"/>
      <c r="J468" s="13"/>
      <c r="K468" s="13"/>
      <c r="L468" s="13"/>
      <c r="M468" s="13"/>
      <c r="N468" s="13"/>
      <c r="O468" s="13"/>
      <c r="P468" s="13"/>
      <c r="Q468" s="13"/>
      <c r="R468" s="13"/>
      <c r="S468" s="13"/>
      <c r="T468" s="13"/>
      <c r="U468" s="13"/>
    </row>
    <row r="469" spans="1:21" ht="15.75" customHeight="1" x14ac:dyDescent="0.2">
      <c r="A469" s="33" t="s">
        <v>1392</v>
      </c>
      <c r="B469" s="13" t="s">
        <v>1393</v>
      </c>
      <c r="C469" s="13">
        <v>9</v>
      </c>
      <c r="D469" s="13"/>
      <c r="E469" s="13"/>
      <c r="F469" s="13"/>
      <c r="G469" s="20"/>
      <c r="H469" s="20"/>
      <c r="I469" s="13"/>
      <c r="J469" s="13"/>
      <c r="K469" s="13"/>
      <c r="L469" s="13"/>
      <c r="M469" s="13"/>
      <c r="N469" s="13"/>
      <c r="O469" s="13"/>
      <c r="P469" s="13"/>
      <c r="Q469" s="13"/>
      <c r="R469" s="13"/>
      <c r="S469" s="13"/>
      <c r="T469" s="13"/>
      <c r="U469" s="13"/>
    </row>
    <row r="470" spans="1:21" ht="15.75" customHeight="1" x14ac:dyDescent="0.2">
      <c r="A470" s="33" t="s">
        <v>41</v>
      </c>
      <c r="B470" s="13" t="s">
        <v>1555</v>
      </c>
      <c r="C470" s="13">
        <v>2</v>
      </c>
      <c r="D470" s="13"/>
      <c r="E470" s="13"/>
      <c r="F470" s="13"/>
      <c r="G470" s="20"/>
      <c r="H470" s="20"/>
      <c r="I470" s="13"/>
      <c r="J470" s="13"/>
      <c r="K470" s="13"/>
      <c r="L470" s="13"/>
      <c r="M470" s="13"/>
      <c r="N470" s="13"/>
      <c r="O470" s="13"/>
      <c r="P470" s="13"/>
      <c r="Q470" s="13"/>
      <c r="R470" s="13"/>
      <c r="S470" s="13"/>
      <c r="T470" s="13"/>
      <c r="U470" s="13"/>
    </row>
    <row r="471" spans="1:21" ht="15.75" customHeight="1" x14ac:dyDescent="0.2">
      <c r="A471" s="33" t="s">
        <v>1590</v>
      </c>
      <c r="B471" s="13">
        <v>17269</v>
      </c>
      <c r="C471" s="13">
        <v>2</v>
      </c>
      <c r="D471" s="13"/>
      <c r="E471" s="13"/>
      <c r="F471" s="13"/>
      <c r="G471" s="20"/>
      <c r="H471" s="20"/>
      <c r="I471" s="13"/>
      <c r="J471" s="13"/>
      <c r="K471" s="13"/>
      <c r="L471" s="13"/>
      <c r="M471" s="13"/>
      <c r="N471" s="13"/>
      <c r="O471" s="13"/>
      <c r="P471" s="13"/>
      <c r="Q471" s="13"/>
      <c r="R471" s="13"/>
      <c r="S471" s="13"/>
      <c r="T471" s="13"/>
      <c r="U471" s="13"/>
    </row>
    <row r="472" spans="1:21" ht="15.75" customHeight="1" x14ac:dyDescent="0.2">
      <c r="A472" s="33" t="s">
        <v>1394</v>
      </c>
      <c r="B472" s="13" t="s">
        <v>1395</v>
      </c>
      <c r="C472" s="13">
        <v>1</v>
      </c>
      <c r="D472" s="13"/>
      <c r="E472" s="13"/>
      <c r="F472" s="13"/>
      <c r="G472" s="20"/>
      <c r="H472" s="20"/>
      <c r="I472" s="13"/>
      <c r="J472" s="13"/>
      <c r="K472" s="13"/>
      <c r="L472" s="13"/>
      <c r="M472" s="13"/>
      <c r="N472" s="13"/>
      <c r="O472" s="13"/>
      <c r="P472" s="13"/>
      <c r="Q472" s="13"/>
      <c r="R472" s="13"/>
      <c r="S472" s="13"/>
      <c r="T472" s="13"/>
      <c r="U472" s="13"/>
    </row>
    <row r="473" spans="1:21" ht="15.75" customHeight="1" x14ac:dyDescent="0.2">
      <c r="A473" s="33" t="s">
        <v>1396</v>
      </c>
      <c r="B473" s="13" t="s">
        <v>1397</v>
      </c>
      <c r="C473" s="13">
        <v>1</v>
      </c>
      <c r="D473" s="13"/>
      <c r="E473" s="13"/>
      <c r="F473" s="13"/>
      <c r="G473" s="20"/>
      <c r="H473" s="20"/>
      <c r="I473" s="13"/>
      <c r="J473" s="13"/>
      <c r="K473" s="13"/>
      <c r="L473" s="13"/>
      <c r="M473" s="13"/>
      <c r="N473" s="13"/>
      <c r="O473" s="13"/>
      <c r="P473" s="13"/>
      <c r="Q473" s="13"/>
      <c r="R473" s="13"/>
      <c r="S473" s="13"/>
      <c r="T473" s="13"/>
      <c r="U473" s="13"/>
    </row>
    <row r="474" spans="1:21" ht="15.75" customHeight="1" x14ac:dyDescent="0.2">
      <c r="A474" s="33" t="s">
        <v>1556</v>
      </c>
      <c r="B474" s="13" t="s">
        <v>1557</v>
      </c>
      <c r="C474" s="13">
        <v>4</v>
      </c>
      <c r="D474" s="13"/>
      <c r="E474" s="13"/>
      <c r="F474" s="13"/>
      <c r="G474" s="20"/>
      <c r="H474" s="20"/>
      <c r="I474" s="13"/>
      <c r="J474" s="13"/>
      <c r="K474" s="13"/>
      <c r="L474" s="13"/>
      <c r="M474" s="13"/>
      <c r="N474" s="13"/>
      <c r="O474" s="13"/>
      <c r="P474" s="13"/>
      <c r="Q474" s="13"/>
      <c r="R474" s="13"/>
      <c r="S474" s="13"/>
      <c r="T474" s="13"/>
      <c r="U474" s="13"/>
    </row>
    <row r="475" spans="1:21" ht="15.75" customHeight="1" x14ac:dyDescent="0.2">
      <c r="A475" s="33" t="s">
        <v>1558</v>
      </c>
      <c r="B475" s="13" t="s">
        <v>1559</v>
      </c>
      <c r="C475" s="13">
        <v>2</v>
      </c>
      <c r="D475" s="13"/>
      <c r="E475" s="13"/>
      <c r="F475" s="13"/>
      <c r="G475" s="20"/>
      <c r="H475" s="20"/>
      <c r="I475" s="13"/>
      <c r="J475" s="13"/>
      <c r="K475" s="13"/>
      <c r="L475" s="13"/>
      <c r="M475" s="13"/>
      <c r="N475" s="13"/>
      <c r="O475" s="13"/>
      <c r="P475" s="13"/>
      <c r="Q475" s="13"/>
      <c r="R475" s="13"/>
      <c r="S475" s="13"/>
      <c r="T475" s="13"/>
      <c r="U475" s="13"/>
    </row>
    <row r="476" spans="1:21" ht="15.75" customHeight="1" x14ac:dyDescent="0.2">
      <c r="A476" s="33" t="s">
        <v>1398</v>
      </c>
      <c r="B476" s="13" t="s">
        <v>1399</v>
      </c>
      <c r="C476" s="13">
        <v>2</v>
      </c>
      <c r="D476" s="13"/>
      <c r="E476" s="13"/>
      <c r="F476" s="13"/>
      <c r="G476" s="20"/>
      <c r="H476" s="20"/>
      <c r="I476" s="13"/>
      <c r="J476" s="13"/>
      <c r="K476" s="13"/>
      <c r="L476" s="13"/>
      <c r="M476" s="13"/>
      <c r="N476" s="13"/>
      <c r="O476" s="13"/>
      <c r="P476" s="13"/>
      <c r="Q476" s="13"/>
      <c r="R476" s="13"/>
      <c r="S476" s="13"/>
      <c r="T476" s="13"/>
      <c r="U476" s="13"/>
    </row>
    <row r="477" spans="1:21" ht="15.75" customHeight="1" x14ac:dyDescent="0.2">
      <c r="A477" s="33" t="s">
        <v>1400</v>
      </c>
      <c r="B477" s="13" t="s">
        <v>1401</v>
      </c>
      <c r="C477" s="13">
        <v>4</v>
      </c>
      <c r="D477" s="13"/>
      <c r="E477" s="13"/>
      <c r="F477" s="13"/>
      <c r="G477" s="20"/>
      <c r="H477" s="20"/>
      <c r="I477" s="13"/>
      <c r="J477" s="13"/>
      <c r="K477" s="13"/>
      <c r="L477" s="13"/>
      <c r="M477" s="13"/>
      <c r="N477" s="13"/>
      <c r="O477" s="13"/>
      <c r="P477" s="13"/>
      <c r="Q477" s="13"/>
      <c r="R477" s="13"/>
      <c r="S477" s="13"/>
      <c r="T477" s="13"/>
      <c r="U477" s="13"/>
    </row>
    <row r="478" spans="1:21" ht="15.75" customHeight="1" x14ac:dyDescent="0.2">
      <c r="A478" s="33" t="s">
        <v>999</v>
      </c>
      <c r="B478" s="13" t="s">
        <v>1000</v>
      </c>
      <c r="C478" s="13">
        <v>2</v>
      </c>
      <c r="D478" s="13"/>
      <c r="E478" s="13"/>
      <c r="F478" s="13"/>
      <c r="G478" s="20"/>
      <c r="H478" s="20"/>
      <c r="I478" s="13"/>
      <c r="J478" s="13"/>
      <c r="K478" s="13"/>
      <c r="L478" s="13"/>
      <c r="M478" s="13"/>
      <c r="N478" s="13"/>
      <c r="O478" s="13"/>
      <c r="P478" s="13"/>
      <c r="Q478" s="13"/>
      <c r="R478" s="13"/>
      <c r="S478" s="13"/>
      <c r="T478" s="13"/>
      <c r="U478" s="13"/>
    </row>
    <row r="479" spans="1:21" ht="15.75" customHeight="1" x14ac:dyDescent="0.2">
      <c r="A479" s="33" t="s">
        <v>1560</v>
      </c>
      <c r="B479" s="13" t="s">
        <v>1561</v>
      </c>
      <c r="C479" s="13">
        <v>5</v>
      </c>
      <c r="D479" s="13"/>
      <c r="E479" s="13"/>
      <c r="F479" s="13"/>
      <c r="G479" s="20"/>
      <c r="H479" s="20"/>
      <c r="I479" s="13"/>
      <c r="J479" s="13"/>
      <c r="K479" s="13"/>
      <c r="L479" s="13"/>
      <c r="M479" s="13"/>
      <c r="N479" s="13"/>
      <c r="O479" s="13"/>
      <c r="P479" s="13"/>
      <c r="Q479" s="13"/>
      <c r="R479" s="13"/>
      <c r="S479" s="13"/>
      <c r="T479" s="13"/>
      <c r="U479" s="13"/>
    </row>
    <row r="480" spans="1:21" ht="15.75" customHeight="1" x14ac:dyDescent="0.2">
      <c r="A480" s="33" t="s">
        <v>1402</v>
      </c>
      <c r="B480" s="13" t="s">
        <v>1403</v>
      </c>
      <c r="C480" s="13">
        <v>3</v>
      </c>
      <c r="D480" s="13"/>
      <c r="E480" s="13"/>
      <c r="F480" s="13"/>
      <c r="G480" s="20"/>
      <c r="H480" s="20"/>
      <c r="I480" s="13"/>
      <c r="J480" s="13"/>
      <c r="K480" s="13"/>
      <c r="L480" s="13"/>
      <c r="M480" s="13"/>
      <c r="N480" s="13"/>
      <c r="O480" s="13"/>
      <c r="P480" s="13"/>
      <c r="Q480" s="13"/>
      <c r="R480" s="13"/>
      <c r="S480" s="13"/>
      <c r="T480" s="13"/>
      <c r="U480" s="13"/>
    </row>
    <row r="481" spans="1:21" ht="15.75" customHeight="1" x14ac:dyDescent="0.2">
      <c r="A481" s="33" t="s">
        <v>1404</v>
      </c>
      <c r="B481" s="13" t="s">
        <v>1405</v>
      </c>
      <c r="C481" s="13">
        <v>1</v>
      </c>
      <c r="D481" s="13"/>
      <c r="E481" s="13"/>
      <c r="F481" s="13"/>
      <c r="G481" s="20"/>
      <c r="H481" s="20"/>
      <c r="I481" s="13"/>
      <c r="J481" s="13"/>
      <c r="K481" s="13"/>
      <c r="L481" s="13"/>
      <c r="M481" s="13"/>
      <c r="N481" s="13"/>
      <c r="O481" s="13"/>
      <c r="P481" s="13"/>
      <c r="Q481" s="13"/>
      <c r="R481" s="13"/>
      <c r="S481" s="13"/>
      <c r="T481" s="13"/>
      <c r="U481" s="13"/>
    </row>
    <row r="482" spans="1:21" ht="15.75" customHeight="1" x14ac:dyDescent="0.2">
      <c r="A482" s="33" t="s">
        <v>1406</v>
      </c>
      <c r="B482" s="13" t="s">
        <v>1407</v>
      </c>
      <c r="C482" s="13">
        <v>1</v>
      </c>
      <c r="D482" s="13"/>
      <c r="E482" s="13"/>
      <c r="F482" s="13"/>
      <c r="G482" s="20"/>
      <c r="H482" s="20"/>
      <c r="I482" s="13"/>
      <c r="J482" s="13"/>
      <c r="K482" s="13"/>
      <c r="L482" s="13"/>
      <c r="M482" s="13"/>
      <c r="N482" s="13"/>
      <c r="O482" s="13"/>
      <c r="P482" s="13"/>
      <c r="Q482" s="13"/>
      <c r="R482" s="13"/>
      <c r="S482" s="13"/>
      <c r="T482" s="13"/>
      <c r="U482" s="13"/>
    </row>
    <row r="483" spans="1:21" ht="15.75" customHeight="1" x14ac:dyDescent="0.2">
      <c r="A483" s="33" t="s">
        <v>76</v>
      </c>
      <c r="B483" s="13" t="s">
        <v>1408</v>
      </c>
      <c r="C483" s="13">
        <v>3</v>
      </c>
      <c r="D483" s="13"/>
      <c r="E483" s="13"/>
      <c r="F483" s="13"/>
      <c r="G483" s="20"/>
      <c r="H483" s="20"/>
      <c r="I483" s="13"/>
      <c r="J483" s="13"/>
      <c r="K483" s="13"/>
      <c r="L483" s="13"/>
      <c r="M483" s="13"/>
      <c r="N483" s="13"/>
      <c r="O483" s="13"/>
      <c r="P483" s="13"/>
      <c r="Q483" s="13"/>
      <c r="R483" s="13"/>
      <c r="S483" s="13"/>
      <c r="T483" s="13"/>
      <c r="U483" s="13"/>
    </row>
    <row r="484" spans="1:21" ht="15.75" customHeight="1" x14ac:dyDescent="0.2">
      <c r="A484" s="33" t="s">
        <v>1409</v>
      </c>
      <c r="B484" s="13" t="s">
        <v>1410</v>
      </c>
      <c r="C484" s="13">
        <v>1</v>
      </c>
      <c r="D484" s="13"/>
      <c r="E484" s="13"/>
      <c r="F484" s="13"/>
      <c r="G484" s="20"/>
      <c r="H484" s="20"/>
      <c r="I484" s="13"/>
      <c r="J484" s="13"/>
      <c r="K484" s="13"/>
      <c r="L484" s="13"/>
      <c r="M484" s="13"/>
      <c r="N484" s="13"/>
      <c r="O484" s="13"/>
      <c r="P484" s="13"/>
      <c r="Q484" s="13"/>
      <c r="R484" s="13"/>
      <c r="S484" s="13"/>
      <c r="T484" s="13"/>
      <c r="U484" s="13"/>
    </row>
    <row r="485" spans="1:21" ht="15.75" customHeight="1" x14ac:dyDescent="0.2">
      <c r="A485" s="33" t="s">
        <v>1411</v>
      </c>
      <c r="B485" s="13" t="s">
        <v>1412</v>
      </c>
      <c r="C485" s="13">
        <v>1</v>
      </c>
      <c r="D485" s="13"/>
      <c r="E485" s="13"/>
      <c r="F485" s="13"/>
      <c r="G485" s="20"/>
      <c r="H485" s="20"/>
      <c r="I485" s="13"/>
      <c r="J485" s="13"/>
      <c r="K485" s="13"/>
      <c r="L485" s="13"/>
      <c r="M485" s="13"/>
      <c r="N485" s="13"/>
      <c r="O485" s="13"/>
      <c r="P485" s="13"/>
      <c r="Q485" s="13"/>
      <c r="R485" s="13"/>
      <c r="S485" s="13"/>
      <c r="T485" s="13"/>
      <c r="U485" s="13"/>
    </row>
    <row r="486" spans="1:21" ht="15.75" customHeight="1" x14ac:dyDescent="0.2">
      <c r="A486" s="33" t="s">
        <v>1413</v>
      </c>
      <c r="B486" s="13" t="s">
        <v>1414</v>
      </c>
      <c r="C486" s="13">
        <v>1</v>
      </c>
      <c r="D486" s="13"/>
      <c r="E486" s="13"/>
      <c r="F486" s="13"/>
      <c r="G486" s="20"/>
      <c r="H486" s="20"/>
      <c r="I486" s="13"/>
      <c r="J486" s="13"/>
      <c r="K486" s="13"/>
      <c r="L486" s="13"/>
      <c r="M486" s="13"/>
      <c r="N486" s="13"/>
      <c r="O486" s="13"/>
      <c r="P486" s="13"/>
      <c r="Q486" s="13"/>
      <c r="R486" s="13"/>
      <c r="S486" s="13"/>
      <c r="T486" s="13"/>
      <c r="U486" s="13"/>
    </row>
    <row r="487" spans="1:21" ht="15.75" customHeight="1" x14ac:dyDescent="0.2">
      <c r="A487" s="33" t="s">
        <v>1562</v>
      </c>
      <c r="B487" s="13" t="s">
        <v>1563</v>
      </c>
      <c r="C487" s="13">
        <v>1</v>
      </c>
      <c r="D487" s="13"/>
      <c r="E487" s="13"/>
      <c r="F487" s="13"/>
      <c r="G487" s="20"/>
      <c r="H487" s="20"/>
      <c r="I487" s="13"/>
      <c r="J487" s="13"/>
      <c r="K487" s="13"/>
      <c r="L487" s="13"/>
      <c r="M487" s="13"/>
      <c r="N487" s="13"/>
      <c r="O487" s="13"/>
      <c r="P487" s="13"/>
      <c r="Q487" s="13"/>
      <c r="R487" s="13"/>
      <c r="S487" s="13"/>
      <c r="T487" s="13"/>
      <c r="U487" s="13"/>
    </row>
    <row r="488" spans="1:21" ht="15.75" customHeight="1" x14ac:dyDescent="0.2">
      <c r="A488" s="33" t="s">
        <v>1600</v>
      </c>
      <c r="B488" s="13" t="s">
        <v>1601</v>
      </c>
      <c r="C488" s="13">
        <v>1</v>
      </c>
      <c r="D488" s="13"/>
      <c r="E488" s="13"/>
      <c r="F488" s="13"/>
      <c r="G488" s="20"/>
      <c r="H488" s="20"/>
      <c r="I488" s="13"/>
      <c r="J488" s="13"/>
      <c r="K488" s="13"/>
      <c r="L488" s="13"/>
      <c r="M488" s="13"/>
      <c r="N488" s="13"/>
      <c r="O488" s="13"/>
      <c r="P488" s="13"/>
      <c r="Q488" s="13"/>
      <c r="R488" s="13"/>
      <c r="S488" s="13"/>
      <c r="T488" s="13"/>
      <c r="U488" s="13"/>
    </row>
    <row r="489" spans="1:21" ht="15.75" customHeight="1" x14ac:dyDescent="0.2">
      <c r="A489" s="33" t="s">
        <v>1415</v>
      </c>
      <c r="B489" s="13" t="s">
        <v>1416</v>
      </c>
      <c r="C489" s="13">
        <v>1</v>
      </c>
      <c r="D489" s="13"/>
      <c r="E489" s="13"/>
      <c r="F489" s="13"/>
      <c r="G489" s="20"/>
      <c r="H489" s="20"/>
      <c r="I489" s="13"/>
      <c r="J489" s="13"/>
      <c r="K489" s="13"/>
      <c r="L489" s="13"/>
      <c r="M489" s="13"/>
      <c r="N489" s="13"/>
      <c r="O489" s="13"/>
      <c r="P489" s="13"/>
      <c r="Q489" s="13"/>
      <c r="R489" s="13"/>
      <c r="S489" s="13"/>
      <c r="T489" s="13"/>
      <c r="U489" s="13"/>
    </row>
    <row r="490" spans="1:21" ht="15.75" customHeight="1" x14ac:dyDescent="0.2">
      <c r="A490" s="33" t="s">
        <v>1417</v>
      </c>
      <c r="B490" s="13" t="s">
        <v>1418</v>
      </c>
      <c r="C490" s="13">
        <v>2</v>
      </c>
      <c r="D490" s="13"/>
      <c r="E490" s="13"/>
      <c r="F490" s="13"/>
      <c r="G490" s="20"/>
      <c r="H490" s="20"/>
      <c r="I490" s="13"/>
      <c r="J490" s="13"/>
      <c r="K490" s="13"/>
      <c r="L490" s="13"/>
      <c r="M490" s="13"/>
      <c r="N490" s="13"/>
      <c r="O490" s="13"/>
      <c r="P490" s="13"/>
      <c r="Q490" s="13"/>
      <c r="R490" s="13"/>
      <c r="S490" s="13"/>
      <c r="T490" s="13"/>
      <c r="U490" s="13"/>
    </row>
    <row r="491" spans="1:21" ht="15.75" customHeight="1" x14ac:dyDescent="0.2">
      <c r="A491" s="33" t="s">
        <v>1619</v>
      </c>
      <c r="B491" s="13">
        <v>30325</v>
      </c>
      <c r="C491" s="13">
        <v>1</v>
      </c>
      <c r="D491" s="13"/>
      <c r="E491" s="13"/>
      <c r="F491" s="13"/>
      <c r="G491" s="20"/>
      <c r="H491" s="20"/>
      <c r="I491" s="13"/>
      <c r="J491" s="13"/>
      <c r="K491" s="13"/>
      <c r="L491" s="13"/>
      <c r="M491" s="13"/>
      <c r="N491" s="13"/>
      <c r="O491" s="13"/>
      <c r="P491" s="13"/>
      <c r="Q491" s="13"/>
      <c r="R491" s="13"/>
      <c r="S491" s="13"/>
      <c r="T491" s="13"/>
      <c r="U491" s="13"/>
    </row>
    <row r="492" spans="1:21" ht="15.75" customHeight="1" x14ac:dyDescent="0.2">
      <c r="A492" s="33" t="s">
        <v>1620</v>
      </c>
      <c r="B492" s="13" t="s">
        <v>1621</v>
      </c>
      <c r="C492" s="13">
        <v>1</v>
      </c>
      <c r="D492" s="13"/>
      <c r="E492" s="13"/>
      <c r="F492" s="13"/>
      <c r="G492" s="20"/>
      <c r="H492" s="20"/>
      <c r="I492" s="13"/>
      <c r="J492" s="13"/>
      <c r="K492" s="13"/>
      <c r="L492" s="13"/>
      <c r="M492" s="13"/>
      <c r="N492" s="13"/>
      <c r="O492" s="13"/>
      <c r="P492" s="13"/>
      <c r="Q492" s="13"/>
      <c r="R492" s="13"/>
      <c r="S492" s="13"/>
      <c r="T492" s="13"/>
      <c r="U492" s="13"/>
    </row>
    <row r="493" spans="1:21" ht="15.75" customHeight="1" x14ac:dyDescent="0.2">
      <c r="A493" s="33" t="s">
        <v>1419</v>
      </c>
      <c r="B493" s="13" t="s">
        <v>1420</v>
      </c>
      <c r="C493" s="13">
        <v>3</v>
      </c>
      <c r="D493" s="13"/>
      <c r="E493" s="13"/>
      <c r="F493" s="13"/>
      <c r="G493" s="20"/>
      <c r="H493" s="20"/>
      <c r="I493" s="13"/>
      <c r="J493" s="13"/>
      <c r="K493" s="13"/>
      <c r="L493" s="13"/>
      <c r="M493" s="13"/>
      <c r="N493" s="13"/>
      <c r="O493" s="13"/>
      <c r="P493" s="13"/>
      <c r="Q493" s="13"/>
      <c r="R493" s="13"/>
      <c r="S493" s="13"/>
      <c r="T493" s="13"/>
      <c r="U493" s="13"/>
    </row>
    <row r="494" spans="1:21" ht="15.75" customHeight="1" x14ac:dyDescent="0.2">
      <c r="A494" s="33" t="s">
        <v>1421</v>
      </c>
      <c r="B494" s="24" t="s">
        <v>1422</v>
      </c>
      <c r="C494" s="13">
        <v>3</v>
      </c>
      <c r="D494" s="13"/>
      <c r="E494" s="13"/>
      <c r="F494" s="13"/>
      <c r="G494" s="20"/>
      <c r="H494" s="20"/>
      <c r="I494" s="13"/>
      <c r="J494" s="13"/>
      <c r="K494" s="13"/>
      <c r="L494" s="13"/>
      <c r="M494" s="13"/>
      <c r="N494" s="13"/>
      <c r="O494" s="13"/>
      <c r="P494" s="13"/>
      <c r="Q494" s="13"/>
      <c r="R494" s="13"/>
      <c r="S494" s="13"/>
      <c r="T494" s="13"/>
      <c r="U494" s="13"/>
    </row>
    <row r="495" spans="1:21" ht="15.75" customHeight="1" x14ac:dyDescent="0.2">
      <c r="A495" s="33" t="s">
        <v>1423</v>
      </c>
      <c r="B495" s="13" t="s">
        <v>1424</v>
      </c>
      <c r="C495" s="13">
        <v>3</v>
      </c>
      <c r="D495" s="13"/>
      <c r="E495" s="13"/>
      <c r="F495" s="13"/>
      <c r="G495" s="20"/>
      <c r="H495" s="20"/>
      <c r="I495" s="13"/>
      <c r="J495" s="13"/>
      <c r="K495" s="13"/>
      <c r="L495" s="13"/>
      <c r="M495" s="13"/>
      <c r="N495" s="13"/>
      <c r="O495" s="13"/>
      <c r="P495" s="13"/>
      <c r="Q495" s="13"/>
      <c r="R495" s="13"/>
      <c r="S495" s="13"/>
      <c r="T495" s="13"/>
      <c r="U495" s="13"/>
    </row>
    <row r="496" spans="1:21" ht="15.75" customHeight="1" x14ac:dyDescent="0.2">
      <c r="A496" s="33" t="s">
        <v>1425</v>
      </c>
      <c r="B496" s="13" t="s">
        <v>1426</v>
      </c>
      <c r="C496" s="13">
        <v>1</v>
      </c>
      <c r="D496" s="13"/>
      <c r="E496" s="13"/>
      <c r="F496" s="13"/>
      <c r="G496" s="20"/>
      <c r="H496" s="20"/>
      <c r="I496" s="13"/>
      <c r="J496" s="13"/>
      <c r="K496" s="13"/>
      <c r="L496" s="13"/>
      <c r="M496" s="13"/>
      <c r="N496" s="13"/>
      <c r="O496" s="13"/>
      <c r="P496" s="13"/>
      <c r="Q496" s="13"/>
      <c r="R496" s="13"/>
      <c r="S496" s="13"/>
      <c r="T496" s="13"/>
      <c r="U496" s="13"/>
    </row>
    <row r="497" spans="1:21" ht="15.75" customHeight="1" x14ac:dyDescent="0.2">
      <c r="A497" s="33" t="s">
        <v>1768</v>
      </c>
      <c r="B497" s="13" t="s">
        <v>1769</v>
      </c>
      <c r="C497" s="13">
        <v>3</v>
      </c>
      <c r="D497" s="13"/>
      <c r="E497" s="13"/>
      <c r="F497" s="13"/>
      <c r="G497" s="20"/>
      <c r="H497" s="20"/>
      <c r="I497" s="13"/>
      <c r="J497" s="13"/>
      <c r="K497" s="13"/>
      <c r="L497" s="13"/>
      <c r="M497" s="13"/>
      <c r="N497" s="13"/>
      <c r="O497" s="13"/>
      <c r="P497" s="13"/>
      <c r="Q497" s="13"/>
      <c r="R497" s="13"/>
      <c r="S497" s="13"/>
      <c r="T497" s="13"/>
      <c r="U497" s="13"/>
    </row>
    <row r="498" spans="1:21" ht="15.75" customHeight="1" x14ac:dyDescent="0.2">
      <c r="A498" s="33" t="s">
        <v>1640</v>
      </c>
      <c r="B498" s="13" t="s">
        <v>1641</v>
      </c>
      <c r="C498" s="13">
        <v>1</v>
      </c>
      <c r="D498" s="13"/>
      <c r="E498" s="13"/>
      <c r="F498" s="13"/>
      <c r="G498" s="20"/>
      <c r="H498" s="20"/>
      <c r="I498" s="13"/>
      <c r="J498" s="13"/>
      <c r="K498" s="13"/>
      <c r="L498" s="13"/>
      <c r="M498" s="13"/>
      <c r="N498" s="13"/>
      <c r="O498" s="13"/>
      <c r="P498" s="13"/>
      <c r="Q498" s="13"/>
      <c r="R498" s="13"/>
      <c r="S498" s="13"/>
      <c r="T498" s="13"/>
      <c r="U498" s="13"/>
    </row>
    <row r="499" spans="1:21" ht="15.75" customHeight="1" x14ac:dyDescent="0.2">
      <c r="A499" s="33" t="s">
        <v>1607</v>
      </c>
      <c r="B499" s="13" t="s">
        <v>1608</v>
      </c>
      <c r="C499" s="13">
        <v>3</v>
      </c>
      <c r="D499" s="13"/>
      <c r="E499" s="13"/>
      <c r="F499" s="13"/>
      <c r="G499" s="20"/>
      <c r="H499" s="20"/>
      <c r="I499" s="13"/>
      <c r="J499" s="13"/>
      <c r="K499" s="13"/>
      <c r="L499" s="13"/>
      <c r="M499" s="13"/>
      <c r="N499" s="13"/>
      <c r="O499" s="13"/>
      <c r="P499" s="13"/>
      <c r="Q499" s="13"/>
      <c r="R499" s="13"/>
      <c r="S499" s="13"/>
      <c r="T499" s="13"/>
      <c r="U499" s="13"/>
    </row>
    <row r="500" spans="1:21" ht="15.75" customHeight="1" x14ac:dyDescent="0.2">
      <c r="A500" s="33" t="s">
        <v>1427</v>
      </c>
      <c r="B500" s="13" t="s">
        <v>1428</v>
      </c>
      <c r="C500" s="13">
        <v>1</v>
      </c>
      <c r="D500" s="13"/>
      <c r="E500" s="13"/>
      <c r="F500" s="13"/>
      <c r="G500" s="20"/>
      <c r="H500" s="20"/>
      <c r="I500" s="13"/>
      <c r="J500" s="13"/>
      <c r="K500" s="13"/>
      <c r="L500" s="13"/>
      <c r="M500" s="13"/>
      <c r="N500" s="13"/>
      <c r="O500" s="13"/>
      <c r="P500" s="13"/>
      <c r="Q500" s="13"/>
      <c r="R500" s="13"/>
      <c r="S500" s="13"/>
      <c r="T500" s="13"/>
      <c r="U500" s="13"/>
    </row>
    <row r="501" spans="1:21" ht="15.75" customHeight="1" x14ac:dyDescent="0.2">
      <c r="A501" s="33" t="s">
        <v>1564</v>
      </c>
      <c r="B501" s="13" t="s">
        <v>1565</v>
      </c>
      <c r="C501" s="13">
        <v>7</v>
      </c>
      <c r="D501" s="13"/>
      <c r="E501" s="13"/>
      <c r="F501" s="13"/>
      <c r="G501" s="20"/>
      <c r="H501" s="20"/>
      <c r="I501" s="13"/>
      <c r="J501" s="13"/>
      <c r="K501" s="13"/>
      <c r="L501" s="13"/>
      <c r="M501" s="13"/>
      <c r="N501" s="13"/>
      <c r="O501" s="13"/>
      <c r="P501" s="13"/>
      <c r="Q501" s="13"/>
      <c r="R501" s="13"/>
      <c r="S501" s="13"/>
      <c r="T501" s="13"/>
      <c r="U501" s="13"/>
    </row>
    <row r="502" spans="1:21" ht="15.75" customHeight="1" x14ac:dyDescent="0.2">
      <c r="A502" s="33" t="s">
        <v>1429</v>
      </c>
      <c r="B502" s="13" t="s">
        <v>1430</v>
      </c>
      <c r="C502" s="13">
        <v>2</v>
      </c>
      <c r="D502" s="13"/>
      <c r="E502" s="13"/>
      <c r="F502" s="13"/>
      <c r="G502" s="20"/>
      <c r="H502" s="20"/>
      <c r="I502" s="13"/>
      <c r="J502" s="13"/>
      <c r="K502" s="13"/>
      <c r="L502" s="13"/>
      <c r="M502" s="13"/>
      <c r="N502" s="13"/>
      <c r="O502" s="13"/>
      <c r="P502" s="13"/>
      <c r="Q502" s="13"/>
      <c r="R502" s="13"/>
      <c r="S502" s="13"/>
      <c r="T502" s="13"/>
      <c r="U502" s="13"/>
    </row>
    <row r="503" spans="1:21" ht="15.75" customHeight="1" x14ac:dyDescent="0.2">
      <c r="A503" s="33" t="s">
        <v>1431</v>
      </c>
      <c r="B503" s="13" t="s">
        <v>1432</v>
      </c>
      <c r="C503" s="13">
        <v>1</v>
      </c>
      <c r="D503" s="13"/>
      <c r="E503" s="13"/>
      <c r="F503" s="13"/>
      <c r="G503" s="20"/>
      <c r="H503" s="20"/>
      <c r="I503" s="13"/>
      <c r="J503" s="13"/>
      <c r="K503" s="13"/>
      <c r="L503" s="13"/>
      <c r="M503" s="13"/>
      <c r="N503" s="13"/>
      <c r="O503" s="13"/>
      <c r="P503" s="13"/>
      <c r="Q503" s="13"/>
      <c r="R503" s="13"/>
      <c r="S503" s="13"/>
      <c r="T503" s="13"/>
      <c r="U503" s="13"/>
    </row>
    <row r="504" spans="1:21" ht="15.75" customHeight="1" x14ac:dyDescent="0.2">
      <c r="A504" s="33" t="s">
        <v>1566</v>
      </c>
      <c r="B504" s="13" t="s">
        <v>1567</v>
      </c>
      <c r="C504" s="13">
        <v>5</v>
      </c>
      <c r="D504" s="13"/>
      <c r="E504" s="13"/>
      <c r="F504" s="13"/>
      <c r="G504" s="20"/>
      <c r="H504" s="20"/>
      <c r="I504" s="13"/>
      <c r="J504" s="13"/>
      <c r="K504" s="13"/>
      <c r="L504" s="13"/>
      <c r="M504" s="13"/>
      <c r="N504" s="13"/>
      <c r="O504" s="13"/>
      <c r="P504" s="13"/>
      <c r="Q504" s="13"/>
      <c r="R504" s="13"/>
      <c r="S504" s="13"/>
      <c r="T504" s="13"/>
      <c r="U504" s="13"/>
    </row>
    <row r="505" spans="1:21" ht="15.75" customHeight="1" x14ac:dyDescent="0.2">
      <c r="A505" s="33" t="s">
        <v>1433</v>
      </c>
      <c r="B505" s="13">
        <v>80859</v>
      </c>
      <c r="C505" s="13">
        <v>1</v>
      </c>
      <c r="D505" s="13"/>
      <c r="E505" s="13"/>
      <c r="F505" s="13"/>
      <c r="G505" s="20"/>
      <c r="H505" s="20"/>
      <c r="I505" s="13"/>
      <c r="J505" s="13"/>
      <c r="K505" s="13"/>
      <c r="L505" s="13"/>
      <c r="M505" s="13"/>
      <c r="N505" s="13"/>
      <c r="O505" s="13"/>
      <c r="P505" s="13"/>
      <c r="Q505" s="13"/>
      <c r="R505" s="13"/>
      <c r="S505" s="13"/>
      <c r="T505" s="13"/>
      <c r="U505" s="13"/>
    </row>
    <row r="506" spans="1:21" ht="15.75" customHeight="1" x14ac:dyDescent="0.2">
      <c r="A506" s="33" t="s">
        <v>1434</v>
      </c>
      <c r="B506" s="24">
        <v>8.0999999999999999E+56</v>
      </c>
      <c r="C506" s="13">
        <v>1</v>
      </c>
      <c r="D506" s="13"/>
      <c r="E506" s="13"/>
      <c r="F506" s="13"/>
      <c r="G506" s="20"/>
      <c r="H506" s="20"/>
      <c r="I506" s="13"/>
      <c r="J506" s="13"/>
      <c r="K506" s="13"/>
      <c r="L506" s="13"/>
      <c r="M506" s="13"/>
      <c r="N506" s="13"/>
      <c r="O506" s="13"/>
      <c r="P506" s="13"/>
      <c r="Q506" s="13"/>
      <c r="R506" s="13"/>
      <c r="S506" s="13"/>
      <c r="T506" s="13"/>
      <c r="U506" s="13"/>
    </row>
    <row r="507" spans="1:21" ht="15.75" customHeight="1" x14ac:dyDescent="0.2">
      <c r="A507" s="33" t="s">
        <v>1435</v>
      </c>
      <c r="B507" s="13" t="s">
        <v>1436</v>
      </c>
      <c r="C507" s="13">
        <v>5</v>
      </c>
      <c r="D507" s="13"/>
      <c r="E507" s="13"/>
      <c r="F507" s="13"/>
      <c r="G507" s="20"/>
      <c r="H507" s="20"/>
      <c r="I507" s="13"/>
      <c r="J507" s="13"/>
      <c r="K507" s="13"/>
      <c r="L507" s="13"/>
      <c r="M507" s="13"/>
      <c r="N507" s="13"/>
      <c r="O507" s="13"/>
      <c r="P507" s="13"/>
      <c r="Q507" s="13"/>
      <c r="R507" s="13"/>
      <c r="S507" s="13"/>
      <c r="T507" s="13"/>
      <c r="U507" s="13"/>
    </row>
    <row r="508" spans="1:21" ht="15.75" customHeight="1" x14ac:dyDescent="0.2">
      <c r="A508" s="33" t="s">
        <v>1722</v>
      </c>
      <c r="B508" s="13" t="s">
        <v>1723</v>
      </c>
      <c r="C508" s="13">
        <v>2</v>
      </c>
      <c r="D508" s="13"/>
      <c r="E508" s="13"/>
      <c r="F508" s="13"/>
      <c r="G508" s="20"/>
      <c r="H508" s="20"/>
      <c r="I508" s="13"/>
      <c r="J508" s="13"/>
      <c r="K508" s="13"/>
      <c r="L508" s="13"/>
      <c r="M508" s="13"/>
      <c r="N508" s="13"/>
      <c r="O508" s="13"/>
      <c r="P508" s="13"/>
      <c r="Q508" s="13"/>
      <c r="R508" s="13"/>
      <c r="S508" s="13"/>
      <c r="T508" s="13"/>
      <c r="U508" s="13"/>
    </row>
    <row r="509" spans="1:21" ht="15.75" customHeight="1" x14ac:dyDescent="0.2">
      <c r="A509" s="33" t="s">
        <v>1437</v>
      </c>
      <c r="B509" s="13" t="s">
        <v>1438</v>
      </c>
      <c r="C509" s="13">
        <v>2</v>
      </c>
      <c r="D509" s="13"/>
      <c r="E509" s="13"/>
      <c r="F509" s="13"/>
      <c r="G509" s="20"/>
      <c r="H509" s="20"/>
      <c r="I509" s="13"/>
      <c r="J509" s="13"/>
      <c r="K509" s="13"/>
      <c r="L509" s="13"/>
      <c r="M509" s="13"/>
      <c r="N509" s="13"/>
      <c r="O509" s="13"/>
      <c r="P509" s="13"/>
      <c r="Q509" s="13"/>
      <c r="R509" s="13"/>
      <c r="S509" s="13"/>
      <c r="T509" s="13"/>
      <c r="U509" s="13"/>
    </row>
    <row r="510" spans="1:21" ht="15.75" customHeight="1" x14ac:dyDescent="0.2">
      <c r="A510" s="33" t="s">
        <v>1568</v>
      </c>
      <c r="B510" s="13" t="s">
        <v>1569</v>
      </c>
      <c r="C510" s="13">
        <v>1</v>
      </c>
      <c r="D510" s="13"/>
      <c r="E510" s="13"/>
      <c r="F510" s="13"/>
      <c r="G510" s="20"/>
      <c r="H510" s="20"/>
      <c r="I510" s="13"/>
      <c r="J510" s="13"/>
      <c r="K510" s="13"/>
      <c r="L510" s="13"/>
      <c r="M510" s="13"/>
      <c r="N510" s="13"/>
      <c r="O510" s="13"/>
      <c r="P510" s="13"/>
      <c r="Q510" s="13"/>
      <c r="R510" s="13"/>
      <c r="S510" s="13"/>
      <c r="T510" s="13"/>
      <c r="U510" s="13"/>
    </row>
    <row r="511" spans="1:21" ht="15.75" customHeight="1" x14ac:dyDescent="0.2">
      <c r="A511" s="33" t="s">
        <v>64</v>
      </c>
      <c r="B511" s="13" t="s">
        <v>1570</v>
      </c>
      <c r="C511" s="13">
        <v>3</v>
      </c>
      <c r="D511" s="13"/>
      <c r="E511" s="13"/>
      <c r="F511" s="13"/>
      <c r="G511" s="20"/>
      <c r="H511" s="20"/>
      <c r="I511" s="13"/>
      <c r="J511" s="13"/>
      <c r="K511" s="13"/>
      <c r="L511" s="13"/>
      <c r="M511" s="13"/>
      <c r="N511" s="13"/>
      <c r="O511" s="13"/>
      <c r="P511" s="13"/>
      <c r="Q511" s="13"/>
      <c r="R511" s="13"/>
      <c r="S511" s="13"/>
      <c r="T511" s="13"/>
      <c r="U511" s="13"/>
    </row>
    <row r="512" spans="1:21" ht="15.75" customHeight="1" x14ac:dyDescent="0.2">
      <c r="A512" s="33" t="s">
        <v>1836</v>
      </c>
      <c r="B512" s="13" t="s">
        <v>1837</v>
      </c>
      <c r="C512" s="13">
        <v>2</v>
      </c>
      <c r="D512" s="13"/>
      <c r="E512" s="13"/>
      <c r="F512" s="13"/>
      <c r="G512" s="20"/>
      <c r="H512" s="20"/>
      <c r="I512" s="13"/>
      <c r="J512" s="13"/>
      <c r="K512" s="13"/>
      <c r="L512" s="13"/>
      <c r="M512" s="13"/>
      <c r="N512" s="13"/>
      <c r="O512" s="13"/>
      <c r="P512" s="13"/>
      <c r="Q512" s="13"/>
      <c r="R512" s="13"/>
      <c r="S512" s="13"/>
      <c r="T512" s="13"/>
      <c r="U512" s="13"/>
    </row>
    <row r="513" spans="1:21" ht="15.75" customHeight="1" x14ac:dyDescent="0.2">
      <c r="A513" s="33" t="s">
        <v>1642</v>
      </c>
      <c r="B513" s="13" t="s">
        <v>1643</v>
      </c>
      <c r="C513" s="13">
        <v>1</v>
      </c>
      <c r="D513" s="13"/>
      <c r="E513" s="13"/>
      <c r="F513" s="13"/>
      <c r="G513" s="20"/>
      <c r="H513" s="20"/>
      <c r="I513" s="13"/>
      <c r="J513" s="13"/>
      <c r="K513" s="13"/>
      <c r="L513" s="13"/>
      <c r="M513" s="13"/>
      <c r="N513" s="13"/>
      <c r="O513" s="13"/>
      <c r="P513" s="13"/>
      <c r="Q513" s="13"/>
      <c r="R513" s="13"/>
      <c r="S513" s="13"/>
      <c r="T513" s="13"/>
      <c r="U513" s="13"/>
    </row>
    <row r="514" spans="1:21" ht="15.75" customHeight="1" x14ac:dyDescent="0.2">
      <c r="A514" s="33" t="s">
        <v>1439</v>
      </c>
      <c r="B514" s="13" t="s">
        <v>1440</v>
      </c>
      <c r="C514" s="13">
        <v>2</v>
      </c>
      <c r="D514" s="13"/>
      <c r="E514" s="13"/>
      <c r="F514" s="13"/>
      <c r="G514" s="20"/>
      <c r="H514" s="20"/>
      <c r="I514" s="13"/>
      <c r="J514" s="13"/>
      <c r="K514" s="13"/>
      <c r="L514" s="13"/>
      <c r="M514" s="13"/>
      <c r="N514" s="13"/>
      <c r="O514" s="13"/>
      <c r="P514" s="13"/>
      <c r="Q514" s="13"/>
      <c r="R514" s="13"/>
      <c r="S514" s="13"/>
      <c r="T514" s="13"/>
      <c r="U514" s="13"/>
    </row>
    <row r="515" spans="1:21" ht="15.75" customHeight="1" x14ac:dyDescent="0.2">
      <c r="A515" s="33" t="s">
        <v>1441</v>
      </c>
      <c r="B515" s="13" t="s">
        <v>1442</v>
      </c>
      <c r="C515" s="13">
        <v>4</v>
      </c>
      <c r="D515" s="13"/>
      <c r="E515" s="13"/>
      <c r="F515" s="13"/>
      <c r="G515" s="20"/>
      <c r="H515" s="20"/>
      <c r="I515" s="13"/>
      <c r="J515" s="13"/>
      <c r="K515" s="13"/>
      <c r="L515" s="13"/>
      <c r="M515" s="13"/>
      <c r="N515" s="13"/>
      <c r="O515" s="13"/>
      <c r="P515" s="13"/>
      <c r="Q515" s="13"/>
      <c r="R515" s="13"/>
      <c r="S515" s="13"/>
      <c r="T515" s="13"/>
      <c r="U515" s="13"/>
    </row>
    <row r="516" spans="1:21" ht="15.75" customHeight="1" x14ac:dyDescent="0.2">
      <c r="A516" s="33" t="s">
        <v>1443</v>
      </c>
      <c r="B516" s="24">
        <v>403000000000</v>
      </c>
      <c r="C516" s="13">
        <v>1</v>
      </c>
      <c r="D516" s="13"/>
      <c r="E516" s="13"/>
      <c r="F516" s="13"/>
      <c r="G516" s="20"/>
      <c r="H516" s="20"/>
      <c r="I516" s="13"/>
      <c r="J516" s="13"/>
      <c r="K516" s="13"/>
      <c r="L516" s="13"/>
      <c r="M516" s="13"/>
      <c r="N516" s="13"/>
      <c r="O516" s="13"/>
      <c r="P516" s="13"/>
      <c r="Q516" s="13"/>
      <c r="R516" s="13"/>
      <c r="S516" s="13"/>
      <c r="T516" s="13"/>
      <c r="U516" s="13"/>
    </row>
    <row r="517" spans="1:21" ht="15.75" customHeight="1" x14ac:dyDescent="0.2">
      <c r="A517" s="33" t="s">
        <v>1444</v>
      </c>
      <c r="B517" s="13" t="s">
        <v>1445</v>
      </c>
      <c r="C517" s="13">
        <v>2</v>
      </c>
      <c r="D517" s="13"/>
      <c r="E517" s="13"/>
      <c r="F517" s="13"/>
      <c r="G517" s="20"/>
      <c r="H517" s="20"/>
      <c r="I517" s="13"/>
      <c r="J517" s="13"/>
      <c r="K517" s="13"/>
      <c r="L517" s="13"/>
      <c r="M517" s="13"/>
      <c r="N517" s="13"/>
      <c r="O517" s="13"/>
      <c r="P517" s="13"/>
      <c r="Q517" s="13"/>
      <c r="R517" s="13"/>
      <c r="S517" s="13"/>
      <c r="T517" s="13"/>
      <c r="U517" s="13"/>
    </row>
    <row r="518" spans="1:21" ht="15.75" customHeight="1" x14ac:dyDescent="0.2">
      <c r="A518" s="33" t="s">
        <v>1446</v>
      </c>
      <c r="B518" s="13" t="s">
        <v>1447</v>
      </c>
      <c r="C518" s="13">
        <v>1</v>
      </c>
      <c r="D518" s="13"/>
      <c r="E518" s="13"/>
      <c r="F518" s="13"/>
      <c r="G518" s="20"/>
      <c r="H518" s="20"/>
      <c r="I518" s="13"/>
      <c r="J518" s="13"/>
      <c r="K518" s="13"/>
      <c r="L518" s="13"/>
      <c r="M518" s="13"/>
      <c r="N518" s="13"/>
      <c r="O518" s="13"/>
      <c r="P518" s="13"/>
      <c r="Q518" s="13"/>
      <c r="R518" s="13"/>
      <c r="S518" s="13"/>
      <c r="T518" s="13"/>
      <c r="U518" s="13"/>
    </row>
    <row r="519" spans="1:21" ht="15.75" customHeight="1" x14ac:dyDescent="0.2">
      <c r="A519" s="33" t="s">
        <v>1770</v>
      </c>
      <c r="B519" s="13" t="s">
        <v>1771</v>
      </c>
      <c r="C519" s="13">
        <v>4</v>
      </c>
      <c r="D519" s="13"/>
      <c r="E519" s="13"/>
      <c r="F519" s="13"/>
      <c r="G519" s="20"/>
      <c r="H519" s="20"/>
      <c r="I519" s="13"/>
      <c r="J519" s="13"/>
      <c r="K519" s="13"/>
      <c r="L519" s="13"/>
      <c r="M519" s="13"/>
      <c r="N519" s="13"/>
      <c r="O519" s="13"/>
      <c r="P519" s="13"/>
      <c r="Q519" s="13"/>
      <c r="R519" s="13"/>
      <c r="S519" s="13"/>
      <c r="T519" s="13"/>
      <c r="U519" s="13"/>
    </row>
    <row r="520" spans="1:21" ht="15.75" customHeight="1" x14ac:dyDescent="0.2">
      <c r="A520" s="33" t="s">
        <v>1448</v>
      </c>
      <c r="B520" s="13" t="s">
        <v>1449</v>
      </c>
      <c r="C520" s="13">
        <v>1</v>
      </c>
      <c r="D520" s="13"/>
      <c r="E520" s="13"/>
      <c r="F520" s="13"/>
      <c r="G520" s="20"/>
      <c r="H520" s="20"/>
      <c r="I520" s="13"/>
      <c r="J520" s="13"/>
      <c r="K520" s="13"/>
      <c r="L520" s="13"/>
      <c r="M520" s="13"/>
      <c r="N520" s="13"/>
      <c r="O520" s="13"/>
      <c r="P520" s="13"/>
      <c r="Q520" s="13"/>
      <c r="R520" s="13"/>
      <c r="S520" s="13"/>
      <c r="T520" s="13"/>
      <c r="U520" s="13"/>
    </row>
    <row r="521" spans="1:21" ht="15.75" customHeight="1" x14ac:dyDescent="0.2">
      <c r="A521" s="33" t="s">
        <v>1772</v>
      </c>
      <c r="B521" s="13" t="s">
        <v>1773</v>
      </c>
      <c r="C521" s="13">
        <v>3</v>
      </c>
      <c r="D521" s="13"/>
      <c r="E521" s="13"/>
      <c r="F521" s="13"/>
      <c r="G521" s="20"/>
      <c r="H521" s="20"/>
      <c r="I521" s="13"/>
      <c r="J521" s="13"/>
      <c r="K521" s="13"/>
      <c r="L521" s="13"/>
      <c r="M521" s="13"/>
      <c r="N521" s="13"/>
      <c r="O521" s="13"/>
      <c r="P521" s="13"/>
      <c r="Q521" s="13"/>
      <c r="R521" s="13"/>
      <c r="S521" s="13"/>
      <c r="T521" s="13"/>
      <c r="U521" s="13"/>
    </row>
    <row r="522" spans="1:21" ht="15.75" customHeight="1" x14ac:dyDescent="0.2">
      <c r="A522" s="33" t="s">
        <v>1450</v>
      </c>
      <c r="B522" s="13" t="s">
        <v>1451</v>
      </c>
      <c r="C522" s="13">
        <v>1</v>
      </c>
      <c r="D522" s="13"/>
      <c r="E522" s="13"/>
      <c r="F522" s="13"/>
      <c r="G522" s="20"/>
      <c r="H522" s="20"/>
      <c r="I522" s="13"/>
      <c r="J522" s="13"/>
      <c r="K522" s="13"/>
      <c r="L522" s="13"/>
      <c r="M522" s="13"/>
      <c r="N522" s="13"/>
      <c r="O522" s="13"/>
      <c r="P522" s="13"/>
      <c r="Q522" s="13"/>
      <c r="R522" s="13"/>
      <c r="S522" s="13"/>
      <c r="T522" s="13"/>
      <c r="U522" s="13"/>
    </row>
    <row r="523" spans="1:21" ht="15.75" customHeight="1" x14ac:dyDescent="0.2">
      <c r="A523" s="33" t="s">
        <v>1591</v>
      </c>
      <c r="B523" s="13" t="s">
        <v>1592</v>
      </c>
      <c r="C523" s="13">
        <v>2</v>
      </c>
      <c r="D523" s="13"/>
      <c r="E523" s="13"/>
      <c r="F523" s="13"/>
      <c r="G523" s="20"/>
      <c r="H523" s="20"/>
      <c r="I523" s="13"/>
      <c r="J523" s="13"/>
      <c r="K523" s="13"/>
      <c r="L523" s="13"/>
      <c r="M523" s="13"/>
      <c r="N523" s="13"/>
      <c r="O523" s="13"/>
      <c r="P523" s="13"/>
      <c r="Q523" s="13"/>
      <c r="R523" s="13"/>
      <c r="S523" s="13"/>
      <c r="T523" s="13"/>
      <c r="U523" s="13"/>
    </row>
    <row r="524" spans="1:21" ht="15.75" customHeight="1" x14ac:dyDescent="0.2">
      <c r="A524" s="33" t="s">
        <v>1622</v>
      </c>
      <c r="B524" s="13" t="s">
        <v>1623</v>
      </c>
      <c r="C524" s="13">
        <v>1</v>
      </c>
      <c r="D524" s="13"/>
      <c r="E524" s="13"/>
      <c r="F524" s="13"/>
      <c r="G524" s="20"/>
      <c r="H524" s="20"/>
      <c r="I524" s="13"/>
      <c r="J524" s="13"/>
      <c r="K524" s="13"/>
      <c r="L524" s="13"/>
      <c r="M524" s="13"/>
      <c r="N524" s="13"/>
      <c r="O524" s="13"/>
      <c r="P524" s="13"/>
      <c r="Q524" s="13"/>
      <c r="R524" s="13"/>
      <c r="S524" s="13"/>
      <c r="T524" s="13"/>
      <c r="U524" s="13"/>
    </row>
    <row r="525" spans="1:21" ht="15.75" customHeight="1" x14ac:dyDescent="0.2">
      <c r="A525" s="33" t="s">
        <v>51</v>
      </c>
      <c r="B525" s="13" t="s">
        <v>1452</v>
      </c>
      <c r="C525" s="13">
        <v>3</v>
      </c>
      <c r="D525" s="13"/>
      <c r="E525" s="13"/>
      <c r="F525" s="13"/>
      <c r="G525" s="20"/>
      <c r="H525" s="20"/>
      <c r="I525" s="13"/>
      <c r="J525" s="13"/>
      <c r="K525" s="13"/>
      <c r="L525" s="13"/>
      <c r="M525" s="13"/>
      <c r="N525" s="13"/>
      <c r="O525" s="13"/>
      <c r="P525" s="13"/>
      <c r="Q525" s="13"/>
      <c r="R525" s="13"/>
      <c r="S525" s="13"/>
      <c r="T525" s="13"/>
      <c r="U525" s="13"/>
    </row>
    <row r="526" spans="1:21" ht="15.75" customHeight="1" x14ac:dyDescent="0.2">
      <c r="A526" s="33" t="s">
        <v>1724</v>
      </c>
      <c r="B526" s="13" t="s">
        <v>1725</v>
      </c>
      <c r="C526" s="13">
        <v>2</v>
      </c>
      <c r="D526" s="13"/>
      <c r="E526" s="13"/>
      <c r="F526" s="13"/>
      <c r="G526" s="20"/>
      <c r="H526" s="20"/>
      <c r="I526" s="13"/>
      <c r="J526" s="13"/>
      <c r="K526" s="13"/>
      <c r="L526" s="13"/>
      <c r="M526" s="13"/>
      <c r="N526" s="13"/>
      <c r="O526" s="13"/>
      <c r="P526" s="13"/>
      <c r="Q526" s="13"/>
      <c r="R526" s="13"/>
      <c r="S526" s="13"/>
      <c r="T526" s="13"/>
      <c r="U526" s="13"/>
    </row>
    <row r="527" spans="1:21" ht="15.75" customHeight="1" x14ac:dyDescent="0.2">
      <c r="A527" s="33" t="s">
        <v>1571</v>
      </c>
      <c r="B527" s="13" t="s">
        <v>1572</v>
      </c>
      <c r="C527" s="13">
        <v>1</v>
      </c>
      <c r="D527" s="13"/>
      <c r="E527" s="13"/>
      <c r="F527" s="13"/>
      <c r="G527" s="20"/>
      <c r="H527" s="20"/>
      <c r="I527" s="13"/>
      <c r="J527" s="13"/>
      <c r="K527" s="13"/>
      <c r="L527" s="13"/>
      <c r="M527" s="13"/>
      <c r="N527" s="13"/>
      <c r="O527" s="13"/>
      <c r="P527" s="13"/>
      <c r="Q527" s="13"/>
      <c r="R527" s="13"/>
      <c r="S527" s="13"/>
      <c r="T527" s="13"/>
      <c r="U527" s="13"/>
    </row>
    <row r="528" spans="1:21" ht="15.75" customHeight="1" x14ac:dyDescent="0.2">
      <c r="A528" s="33" t="s">
        <v>1624</v>
      </c>
      <c r="B528" s="13" t="s">
        <v>1625</v>
      </c>
      <c r="C528" s="13">
        <v>1</v>
      </c>
      <c r="D528" s="13"/>
      <c r="E528" s="13"/>
      <c r="F528" s="13"/>
      <c r="G528" s="20"/>
      <c r="H528" s="20"/>
      <c r="I528" s="13"/>
      <c r="J528" s="13"/>
      <c r="K528" s="13"/>
      <c r="L528" s="13"/>
      <c r="M528" s="13"/>
      <c r="N528" s="13"/>
      <c r="O528" s="13"/>
      <c r="P528" s="13"/>
      <c r="Q528" s="13"/>
      <c r="R528" s="13"/>
      <c r="S528" s="13"/>
      <c r="T528" s="13"/>
      <c r="U528" s="13"/>
    </row>
    <row r="529" spans="1:21" ht="15.75" customHeight="1" x14ac:dyDescent="0.2">
      <c r="A529" s="33" t="s">
        <v>1573</v>
      </c>
      <c r="B529" s="13" t="s">
        <v>1574</v>
      </c>
      <c r="C529" s="13">
        <v>2</v>
      </c>
      <c r="D529" s="13"/>
      <c r="E529" s="13"/>
      <c r="F529" s="13"/>
      <c r="G529" s="20"/>
      <c r="H529" s="20"/>
      <c r="I529" s="13"/>
      <c r="J529" s="13"/>
      <c r="K529" s="13"/>
      <c r="L529" s="13"/>
      <c r="M529" s="13"/>
      <c r="N529" s="13"/>
      <c r="O529" s="13"/>
      <c r="P529" s="13"/>
      <c r="Q529" s="13"/>
      <c r="R529" s="13"/>
      <c r="S529" s="13"/>
      <c r="T529" s="13"/>
      <c r="U529" s="13"/>
    </row>
    <row r="530" spans="1:21" ht="15.75" customHeight="1" x14ac:dyDescent="0.2">
      <c r="A530" s="33" t="s">
        <v>1626</v>
      </c>
      <c r="B530" s="13" t="s">
        <v>1627</v>
      </c>
      <c r="C530" s="13">
        <v>1</v>
      </c>
      <c r="D530" s="13"/>
      <c r="E530" s="13"/>
      <c r="F530" s="13"/>
      <c r="G530" s="20"/>
      <c r="H530" s="20"/>
      <c r="I530" s="13"/>
      <c r="J530" s="13"/>
      <c r="K530" s="13"/>
      <c r="L530" s="13"/>
      <c r="M530" s="13"/>
      <c r="N530" s="13"/>
      <c r="O530" s="13"/>
      <c r="P530" s="13"/>
      <c r="Q530" s="13"/>
      <c r="R530" s="13"/>
      <c r="S530" s="13"/>
      <c r="T530" s="13"/>
      <c r="U530" s="13"/>
    </row>
    <row r="531" spans="1:21" ht="15.75" customHeight="1" x14ac:dyDescent="0.2">
      <c r="A531" s="33" t="s">
        <v>1628</v>
      </c>
      <c r="B531" s="13" t="s">
        <v>1629</v>
      </c>
      <c r="C531" s="13">
        <v>1</v>
      </c>
      <c r="D531" s="13"/>
      <c r="E531" s="13"/>
      <c r="F531" s="13"/>
      <c r="G531" s="20"/>
      <c r="H531" s="20"/>
      <c r="I531" s="13"/>
      <c r="J531" s="13"/>
      <c r="K531" s="13"/>
      <c r="L531" s="13"/>
      <c r="M531" s="13"/>
      <c r="N531" s="13"/>
      <c r="O531" s="13"/>
      <c r="P531" s="13"/>
      <c r="Q531" s="13"/>
      <c r="R531" s="13"/>
      <c r="S531" s="13"/>
      <c r="T531" s="13"/>
      <c r="U531" s="13"/>
    </row>
    <row r="532" spans="1:21" ht="15.75" customHeight="1" x14ac:dyDescent="0.2">
      <c r="A532" s="33" t="s">
        <v>1453</v>
      </c>
      <c r="B532" s="13" t="s">
        <v>1454</v>
      </c>
      <c r="C532" s="13">
        <v>5</v>
      </c>
      <c r="D532" s="13"/>
      <c r="E532" s="13"/>
      <c r="F532" s="13"/>
      <c r="G532" s="20"/>
      <c r="H532" s="20"/>
      <c r="I532" s="13"/>
      <c r="J532" s="13"/>
      <c r="K532" s="13"/>
      <c r="L532" s="13"/>
      <c r="M532" s="13"/>
      <c r="N532" s="13"/>
      <c r="O532" s="13"/>
      <c r="P532" s="13"/>
      <c r="Q532" s="13"/>
      <c r="R532" s="13"/>
      <c r="S532" s="13"/>
      <c r="T532" s="13"/>
      <c r="U532" s="13"/>
    </row>
    <row r="533" spans="1:21" ht="15.75" customHeight="1" x14ac:dyDescent="0.2">
      <c r="A533" s="33" t="s">
        <v>1774</v>
      </c>
      <c r="B533" s="13" t="s">
        <v>1775</v>
      </c>
      <c r="C533" s="13">
        <v>5</v>
      </c>
      <c r="D533" s="13"/>
      <c r="E533" s="13"/>
      <c r="F533" s="13"/>
      <c r="G533" s="20"/>
      <c r="H533" s="20"/>
      <c r="I533" s="13"/>
      <c r="J533" s="13"/>
      <c r="K533" s="13"/>
      <c r="L533" s="13"/>
      <c r="M533" s="13"/>
      <c r="N533" s="13"/>
      <c r="O533" s="13"/>
      <c r="P533" s="13"/>
      <c r="Q533" s="13"/>
      <c r="R533" s="13"/>
      <c r="S533" s="13"/>
      <c r="T533" s="13"/>
      <c r="U533" s="13"/>
    </row>
    <row r="534" spans="1:21" ht="15.75" customHeight="1" x14ac:dyDescent="0.2">
      <c r="A534" s="33" t="s">
        <v>1575</v>
      </c>
      <c r="B534" s="13" t="s">
        <v>1576</v>
      </c>
      <c r="C534" s="13">
        <v>3</v>
      </c>
      <c r="D534" s="13"/>
      <c r="E534" s="13"/>
      <c r="F534" s="13"/>
      <c r="G534" s="20"/>
      <c r="H534" s="20"/>
      <c r="I534" s="13"/>
      <c r="J534" s="13"/>
      <c r="K534" s="13"/>
      <c r="L534" s="13"/>
      <c r="M534" s="13"/>
      <c r="N534" s="13"/>
      <c r="O534" s="13"/>
      <c r="P534" s="13"/>
      <c r="Q534" s="13"/>
      <c r="R534" s="13"/>
      <c r="S534" s="13"/>
      <c r="T534" s="13"/>
      <c r="U534" s="13"/>
    </row>
    <row r="535" spans="1:21" ht="15.75" customHeight="1" x14ac:dyDescent="0.2">
      <c r="A535" s="33" t="s">
        <v>1455</v>
      </c>
      <c r="B535" s="13" t="s">
        <v>1456</v>
      </c>
      <c r="C535" s="13">
        <v>5</v>
      </c>
      <c r="D535" s="13"/>
      <c r="E535" s="13"/>
      <c r="F535" s="13"/>
      <c r="G535" s="20"/>
      <c r="H535" s="20"/>
      <c r="I535" s="13"/>
      <c r="J535" s="13"/>
      <c r="K535" s="13"/>
      <c r="L535" s="13"/>
      <c r="M535" s="13"/>
      <c r="N535" s="13"/>
      <c r="O535" s="13"/>
      <c r="P535" s="13"/>
      <c r="Q535" s="13"/>
      <c r="R535" s="13"/>
      <c r="S535" s="13"/>
      <c r="T535" s="13"/>
      <c r="U535" s="13"/>
    </row>
    <row r="536" spans="1:21" ht="15.75" customHeight="1" x14ac:dyDescent="0.2">
      <c r="A536" s="33" t="s">
        <v>1457</v>
      </c>
      <c r="B536" s="13" t="s">
        <v>1458</v>
      </c>
      <c r="C536" s="13">
        <v>2</v>
      </c>
      <c r="D536" s="13"/>
      <c r="E536" s="13"/>
      <c r="F536" s="13"/>
      <c r="G536" s="20"/>
      <c r="H536" s="20"/>
      <c r="I536" s="13"/>
      <c r="J536" s="13"/>
      <c r="K536" s="13"/>
      <c r="L536" s="13"/>
      <c r="M536" s="13"/>
      <c r="N536" s="13"/>
      <c r="O536" s="13"/>
      <c r="P536" s="13"/>
      <c r="Q536" s="13"/>
      <c r="R536" s="13"/>
      <c r="S536" s="13"/>
      <c r="T536" s="13"/>
      <c r="U536" s="13"/>
    </row>
    <row r="537" spans="1:21" ht="15.75" customHeight="1" x14ac:dyDescent="0.2">
      <c r="A537" s="33" t="s">
        <v>1577</v>
      </c>
      <c r="B537" s="13" t="s">
        <v>1578</v>
      </c>
      <c r="C537" s="13">
        <v>1</v>
      </c>
      <c r="D537" s="13"/>
      <c r="E537" s="13"/>
      <c r="F537" s="13"/>
      <c r="G537" s="20"/>
      <c r="H537" s="20"/>
      <c r="I537" s="13"/>
      <c r="J537" s="13"/>
      <c r="K537" s="13"/>
      <c r="L537" s="13"/>
      <c r="M537" s="13"/>
      <c r="N537" s="13"/>
      <c r="O537" s="13"/>
      <c r="P537" s="13"/>
      <c r="Q537" s="13"/>
      <c r="R537" s="13"/>
      <c r="S537" s="13"/>
      <c r="T537" s="13"/>
      <c r="U537" s="13"/>
    </row>
    <row r="538" spans="1:21" ht="15.75" customHeight="1" x14ac:dyDescent="0.2">
      <c r="A538" s="33" t="s">
        <v>1459</v>
      </c>
      <c r="B538" s="13">
        <v>92600</v>
      </c>
      <c r="C538" s="13">
        <v>2</v>
      </c>
      <c r="D538" s="13"/>
      <c r="E538" s="13"/>
      <c r="F538" s="13"/>
      <c r="G538" s="20"/>
      <c r="H538" s="20"/>
      <c r="I538" s="13"/>
      <c r="J538" s="13"/>
      <c r="K538" s="13"/>
      <c r="L538" s="13"/>
      <c r="M538" s="13"/>
      <c r="N538" s="13"/>
      <c r="O538" s="13"/>
      <c r="P538" s="13"/>
      <c r="Q538" s="13"/>
      <c r="R538" s="13"/>
      <c r="S538" s="13"/>
      <c r="T538" s="13"/>
      <c r="U538" s="13"/>
    </row>
    <row r="539" spans="1:21" ht="15.75" customHeight="1" x14ac:dyDescent="0.2">
      <c r="A539" s="33" t="s">
        <v>1776</v>
      </c>
      <c r="B539" s="13" t="s">
        <v>1777</v>
      </c>
      <c r="C539" s="13">
        <v>5</v>
      </c>
      <c r="D539" s="13"/>
      <c r="E539" s="13"/>
      <c r="F539" s="13"/>
      <c r="G539" s="20"/>
      <c r="H539" s="20"/>
      <c r="I539" s="13"/>
      <c r="J539" s="13"/>
      <c r="K539" s="13"/>
      <c r="L539" s="13"/>
      <c r="M539" s="13"/>
      <c r="N539" s="13"/>
      <c r="O539" s="13"/>
      <c r="P539" s="13"/>
      <c r="Q539" s="13"/>
      <c r="R539" s="13"/>
      <c r="S539" s="13"/>
      <c r="T539" s="13"/>
      <c r="U539" s="13"/>
    </row>
    <row r="540" spans="1:21" ht="15.75" customHeight="1" x14ac:dyDescent="0.2">
      <c r="A540" s="33" t="s">
        <v>1593</v>
      </c>
      <c r="B540" s="13" t="s">
        <v>1594</v>
      </c>
      <c r="C540" s="13">
        <v>1</v>
      </c>
      <c r="D540" s="13"/>
      <c r="E540" s="13"/>
      <c r="F540" s="13"/>
      <c r="G540" s="20"/>
      <c r="H540" s="20"/>
      <c r="I540" s="13"/>
      <c r="J540" s="13"/>
      <c r="K540" s="13"/>
      <c r="L540" s="13"/>
      <c r="M540" s="13"/>
      <c r="N540" s="13"/>
      <c r="O540" s="13"/>
      <c r="P540" s="13"/>
      <c r="Q540" s="13"/>
      <c r="R540" s="13"/>
      <c r="S540" s="13"/>
      <c r="T540" s="13"/>
      <c r="U540" s="13"/>
    </row>
    <row r="541" spans="1:21" ht="15.75" customHeight="1" x14ac:dyDescent="0.2">
      <c r="A541" s="33" t="s">
        <v>1579</v>
      </c>
      <c r="B541" s="13" t="s">
        <v>1580</v>
      </c>
      <c r="C541" s="13">
        <v>5</v>
      </c>
      <c r="D541" s="13"/>
      <c r="E541" s="13"/>
      <c r="F541" s="13" t="s">
        <v>2012</v>
      </c>
      <c r="G541" s="20"/>
      <c r="H541" s="13" t="s">
        <v>2013</v>
      </c>
      <c r="I541" s="13"/>
      <c r="J541" s="13" t="s">
        <v>2771</v>
      </c>
      <c r="K541" s="13"/>
      <c r="L541" s="20" t="s">
        <v>2006</v>
      </c>
      <c r="M541" s="13"/>
      <c r="N541" s="13" t="s">
        <v>2772</v>
      </c>
      <c r="O541" s="13"/>
      <c r="P541" s="13" t="s">
        <v>2772</v>
      </c>
      <c r="Q541" s="13"/>
      <c r="R541" s="13"/>
      <c r="S541" s="13"/>
      <c r="T541" s="13"/>
      <c r="U541" s="13"/>
    </row>
    <row r="542" spans="1:21" ht="15.75" customHeight="1" x14ac:dyDescent="0.2">
      <c r="A542" s="33" t="s">
        <v>1851</v>
      </c>
      <c r="B542" s="13" t="s">
        <v>1852</v>
      </c>
      <c r="C542" s="13">
        <v>3</v>
      </c>
      <c r="D542" s="13"/>
      <c r="E542" s="13"/>
      <c r="F542" s="13"/>
      <c r="G542" s="13"/>
      <c r="H542" s="13" t="s">
        <v>2281</v>
      </c>
      <c r="I542" s="13" t="s">
        <v>2773</v>
      </c>
      <c r="J542" s="13"/>
      <c r="K542" s="13"/>
      <c r="L542" s="20" t="s">
        <v>2774</v>
      </c>
      <c r="M542" s="13" t="s">
        <v>2775</v>
      </c>
      <c r="N542" s="13" t="s">
        <v>2776</v>
      </c>
      <c r="O542" s="13"/>
      <c r="P542" s="13" t="s">
        <v>2776</v>
      </c>
      <c r="Q542" s="13"/>
      <c r="R542" s="13" t="s">
        <v>1999</v>
      </c>
      <c r="S542" s="13" t="s">
        <v>2285</v>
      </c>
      <c r="T542" s="13"/>
      <c r="U542" s="13" t="s">
        <v>2777</v>
      </c>
    </row>
    <row r="543" spans="1:21" ht="15.75" customHeight="1" x14ac:dyDescent="0.2">
      <c r="A543" s="33" t="s">
        <v>1581</v>
      </c>
      <c r="B543" s="13" t="s">
        <v>1582</v>
      </c>
      <c r="C543" s="13">
        <v>2</v>
      </c>
      <c r="D543" s="13"/>
      <c r="E543" s="20" t="s">
        <v>2778</v>
      </c>
      <c r="F543" s="20"/>
      <c r="G543" s="13" t="s">
        <v>2454</v>
      </c>
      <c r="H543" s="20"/>
      <c r="I543" s="13" t="s">
        <v>2454</v>
      </c>
      <c r="J543" s="13"/>
      <c r="K543" s="13" t="s">
        <v>2779</v>
      </c>
      <c r="L543" s="13"/>
      <c r="M543" s="13" t="s">
        <v>2779</v>
      </c>
      <c r="N543" s="13"/>
      <c r="O543" s="13" t="s">
        <v>2480</v>
      </c>
      <c r="P543" s="13"/>
      <c r="Q543" s="13" t="s">
        <v>2480</v>
      </c>
      <c r="R543" s="13"/>
      <c r="S543" s="13" t="s">
        <v>2780</v>
      </c>
      <c r="T543" s="13"/>
      <c r="U543" s="13"/>
    </row>
    <row r="544" spans="1:21" ht="15.75" customHeight="1" x14ac:dyDescent="0.2">
      <c r="A544" s="33" t="s">
        <v>1778</v>
      </c>
      <c r="B544" s="13" t="s">
        <v>1779</v>
      </c>
      <c r="C544" s="13">
        <v>8</v>
      </c>
      <c r="D544" s="13"/>
      <c r="E544" s="13"/>
      <c r="F544" s="13"/>
      <c r="G544" s="20"/>
      <c r="H544" s="20"/>
      <c r="I544" s="13"/>
      <c r="J544" s="13"/>
      <c r="K544" s="13"/>
      <c r="L544" s="13"/>
      <c r="M544" s="13"/>
      <c r="N544" s="13"/>
      <c r="O544" s="13"/>
      <c r="P544" s="13"/>
      <c r="Q544" s="13"/>
      <c r="R544" s="13"/>
      <c r="S544" s="13"/>
      <c r="T544" s="13"/>
      <c r="U544" s="13"/>
    </row>
    <row r="545" spans="1:21" ht="15.75" customHeight="1" x14ac:dyDescent="0.2">
      <c r="A545" s="33" t="s">
        <v>1815</v>
      </c>
      <c r="B545" s="13" t="s">
        <v>1816</v>
      </c>
      <c r="C545" s="13">
        <v>3</v>
      </c>
      <c r="D545" s="13"/>
      <c r="E545" s="13" t="s">
        <v>2707</v>
      </c>
      <c r="F545" s="13"/>
      <c r="G545" s="13" t="s">
        <v>2454</v>
      </c>
      <c r="H545" s="20"/>
      <c r="I545" s="13" t="s">
        <v>2781</v>
      </c>
      <c r="J545" s="13"/>
      <c r="K545" s="13" t="s">
        <v>2672</v>
      </c>
      <c r="L545" s="13"/>
      <c r="M545" s="20" t="s">
        <v>2782</v>
      </c>
      <c r="N545" s="13"/>
      <c r="O545" s="13" t="s">
        <v>2783</v>
      </c>
      <c r="P545" s="13"/>
      <c r="Q545" s="13" t="s">
        <v>2784</v>
      </c>
      <c r="R545" s="13"/>
      <c r="S545" s="13"/>
      <c r="T545" s="13"/>
      <c r="U545" s="13"/>
    </row>
    <row r="546" spans="1:21" ht="15.75" customHeight="1" x14ac:dyDescent="0.2">
      <c r="A546" s="33" t="s">
        <v>1780</v>
      </c>
      <c r="B546" s="13" t="s">
        <v>1781</v>
      </c>
      <c r="C546" s="13">
        <v>4</v>
      </c>
      <c r="D546" s="13"/>
      <c r="E546" s="13" t="s">
        <v>2785</v>
      </c>
      <c r="F546" s="13"/>
      <c r="G546" s="20" t="s">
        <v>2785</v>
      </c>
      <c r="H546" s="20"/>
      <c r="I546" s="13" t="s">
        <v>2786</v>
      </c>
      <c r="J546" s="13"/>
      <c r="K546" s="13" t="s">
        <v>2787</v>
      </c>
      <c r="L546" s="13"/>
      <c r="M546" s="20" t="s">
        <v>2788</v>
      </c>
      <c r="N546" s="13"/>
      <c r="O546" s="13" t="s">
        <v>2788</v>
      </c>
      <c r="P546" s="13"/>
      <c r="Q546" s="13"/>
      <c r="R546" s="13"/>
      <c r="S546" s="13"/>
      <c r="T546" s="13"/>
      <c r="U546" s="13"/>
    </row>
    <row r="547" spans="1:21" ht="15.75" customHeight="1" x14ac:dyDescent="0.2">
      <c r="A547" s="33" t="s">
        <v>1644</v>
      </c>
      <c r="B547" s="13" t="s">
        <v>1645</v>
      </c>
      <c r="C547" s="13">
        <v>5</v>
      </c>
      <c r="D547" s="13"/>
      <c r="E547" s="13" t="s">
        <v>2789</v>
      </c>
      <c r="F547" s="13"/>
      <c r="G547" s="13" t="s">
        <v>2790</v>
      </c>
      <c r="H547" s="20"/>
      <c r="I547" s="13" t="s">
        <v>2401</v>
      </c>
      <c r="J547" s="13"/>
      <c r="K547" s="13" t="s">
        <v>2791</v>
      </c>
      <c r="L547" s="13"/>
      <c r="M547" s="13" t="s">
        <v>2791</v>
      </c>
      <c r="N547" s="13"/>
      <c r="O547" s="13"/>
      <c r="P547" s="13"/>
      <c r="Q547" s="13"/>
      <c r="R547" s="13"/>
      <c r="S547" s="13"/>
      <c r="T547" s="13"/>
      <c r="U547" s="13"/>
    </row>
    <row r="548" spans="1:21" ht="15.75" customHeight="1" x14ac:dyDescent="0.2">
      <c r="A548" s="33" t="s">
        <v>1646</v>
      </c>
      <c r="B548" s="13" t="s">
        <v>1647</v>
      </c>
      <c r="C548" s="13">
        <v>5</v>
      </c>
      <c r="D548" s="13"/>
      <c r="E548" s="13"/>
      <c r="F548" s="13" t="s">
        <v>2792</v>
      </c>
      <c r="G548" s="20"/>
      <c r="H548" s="13" t="s">
        <v>2793</v>
      </c>
      <c r="I548" s="13"/>
      <c r="J548" s="13" t="s">
        <v>2793</v>
      </c>
      <c r="K548" s="13"/>
      <c r="L548" s="13"/>
      <c r="M548" s="13"/>
      <c r="N548" s="13"/>
      <c r="O548" s="13"/>
      <c r="P548" s="13"/>
      <c r="Q548" s="13"/>
      <c r="R548" s="13"/>
      <c r="S548" s="13"/>
      <c r="T548" s="13"/>
      <c r="U548" s="13"/>
    </row>
    <row r="549" spans="1:21" ht="15.75" customHeight="1" x14ac:dyDescent="0.2">
      <c r="A549" s="33" t="s">
        <v>1726</v>
      </c>
      <c r="B549" s="13" t="s">
        <v>1727</v>
      </c>
      <c r="C549" s="13">
        <v>1</v>
      </c>
      <c r="D549" s="13"/>
      <c r="E549" s="13"/>
      <c r="F549" s="13"/>
      <c r="G549" s="20"/>
      <c r="H549" s="20"/>
      <c r="I549" s="13"/>
      <c r="J549" s="13"/>
      <c r="K549" s="13"/>
      <c r="L549" s="13"/>
      <c r="M549" s="13"/>
      <c r="N549" s="13"/>
      <c r="O549" s="13"/>
      <c r="P549" s="13"/>
      <c r="Q549" s="13"/>
      <c r="R549" s="13"/>
      <c r="S549" s="13"/>
      <c r="T549" s="13"/>
      <c r="U549" s="13"/>
    </row>
    <row r="550" spans="1:21" ht="15.75" customHeight="1" x14ac:dyDescent="0.2">
      <c r="A550" s="33" t="s">
        <v>1648</v>
      </c>
      <c r="B550" s="13" t="s">
        <v>1649</v>
      </c>
      <c r="C550" s="13">
        <v>4</v>
      </c>
      <c r="D550" s="13"/>
      <c r="E550" s="13"/>
      <c r="F550" s="13"/>
      <c r="G550" s="20"/>
      <c r="H550" s="20"/>
      <c r="I550" s="13"/>
      <c r="J550" s="13"/>
      <c r="K550" s="13"/>
      <c r="L550" s="13"/>
      <c r="M550" s="13"/>
      <c r="N550" s="13"/>
      <c r="O550" s="13"/>
      <c r="P550" s="13"/>
      <c r="Q550" s="13"/>
      <c r="R550" s="13"/>
      <c r="S550" s="13"/>
      <c r="T550" s="13"/>
      <c r="U550" s="13"/>
    </row>
    <row r="551" spans="1:21" ht="15.75" customHeight="1" x14ac:dyDescent="0.2">
      <c r="A551" s="33" t="s">
        <v>1817</v>
      </c>
      <c r="B551" s="13" t="s">
        <v>1818</v>
      </c>
      <c r="C551" s="13">
        <v>1</v>
      </c>
      <c r="D551" s="13"/>
      <c r="E551" s="13"/>
      <c r="F551" s="13"/>
      <c r="G551" s="20"/>
      <c r="H551" s="20"/>
      <c r="I551" s="13"/>
      <c r="J551" s="13"/>
      <c r="K551" s="13"/>
      <c r="L551" s="13"/>
      <c r="M551" s="13"/>
      <c r="N551" s="13"/>
      <c r="O551" s="13"/>
      <c r="P551" s="13"/>
      <c r="Q551" s="13"/>
      <c r="R551" s="13"/>
      <c r="S551" s="13"/>
      <c r="T551" s="13"/>
      <c r="U551" s="13"/>
    </row>
    <row r="552" spans="1:21" ht="15.75" customHeight="1" x14ac:dyDescent="0.2">
      <c r="A552" s="33" t="s">
        <v>1782</v>
      </c>
      <c r="B552" s="13" t="s">
        <v>1783</v>
      </c>
      <c r="C552" s="13">
        <v>5</v>
      </c>
      <c r="D552" s="13"/>
      <c r="E552" s="13"/>
      <c r="F552" s="13"/>
      <c r="G552" s="20"/>
      <c r="H552" s="20"/>
      <c r="I552" s="13"/>
      <c r="J552" s="13"/>
      <c r="K552" s="13"/>
      <c r="L552" s="13"/>
      <c r="M552" s="13"/>
      <c r="N552" s="13"/>
      <c r="O552" s="13"/>
      <c r="P552" s="13"/>
      <c r="Q552" s="13"/>
      <c r="R552" s="13"/>
      <c r="S552" s="13"/>
      <c r="T552" s="13"/>
      <c r="U552" s="13"/>
    </row>
    <row r="553" spans="1:21" ht="15.75" customHeight="1" x14ac:dyDescent="0.2">
      <c r="A553" s="33" t="s">
        <v>1712</v>
      </c>
      <c r="B553" s="13" t="s">
        <v>1713</v>
      </c>
      <c r="C553" s="13">
        <v>5</v>
      </c>
      <c r="D553" s="13"/>
      <c r="E553" s="13"/>
      <c r="F553" s="13"/>
      <c r="G553" s="20"/>
      <c r="H553" s="20"/>
      <c r="I553" s="13"/>
      <c r="J553" s="13"/>
      <c r="K553" s="13"/>
      <c r="L553" s="13"/>
      <c r="M553" s="13"/>
      <c r="N553" s="13"/>
      <c r="O553" s="13"/>
      <c r="P553" s="13"/>
      <c r="Q553" s="13"/>
      <c r="R553" s="13"/>
      <c r="S553" s="13"/>
      <c r="T553" s="13"/>
      <c r="U553" s="13"/>
    </row>
    <row r="554" spans="1:21" ht="15.75" customHeight="1" x14ac:dyDescent="0.2">
      <c r="A554" s="33" t="s">
        <v>1650</v>
      </c>
      <c r="B554" s="13" t="s">
        <v>1651</v>
      </c>
      <c r="C554" s="13">
        <v>6</v>
      </c>
      <c r="D554" s="13"/>
      <c r="E554" s="13"/>
      <c r="F554" s="13"/>
      <c r="G554" s="20"/>
      <c r="H554" s="20"/>
      <c r="I554" s="13"/>
      <c r="J554" s="13"/>
      <c r="K554" s="13"/>
      <c r="L554" s="13"/>
      <c r="M554" s="13"/>
      <c r="N554" s="13"/>
      <c r="O554" s="13"/>
      <c r="P554" s="13"/>
      <c r="Q554" s="13"/>
      <c r="R554" s="13"/>
      <c r="S554" s="13"/>
      <c r="T554" s="13"/>
      <c r="U554" s="13"/>
    </row>
    <row r="555" spans="1:21" ht="15.75" customHeight="1" x14ac:dyDescent="0.2">
      <c r="A555" s="33" t="s">
        <v>1784</v>
      </c>
      <c r="B555" s="13" t="s">
        <v>1785</v>
      </c>
      <c r="C555" s="13">
        <v>6</v>
      </c>
      <c r="D555" s="13"/>
      <c r="E555" s="13"/>
      <c r="F555" s="13"/>
      <c r="G555" s="20"/>
      <c r="H555" s="20"/>
      <c r="I555" s="13"/>
      <c r="J555" s="13"/>
      <c r="K555" s="13"/>
      <c r="L555" s="13"/>
      <c r="M555" s="13"/>
      <c r="N555" s="13"/>
      <c r="O555" s="13"/>
      <c r="P555" s="13"/>
      <c r="Q555" s="13"/>
      <c r="R555" s="13"/>
      <c r="S555" s="13"/>
      <c r="T555" s="13"/>
      <c r="U555" s="13"/>
    </row>
    <row r="556" spans="1:21" ht="15.75" customHeight="1" x14ac:dyDescent="0.2">
      <c r="A556" s="33" t="s">
        <v>1728</v>
      </c>
      <c r="B556" s="13" t="s">
        <v>1729</v>
      </c>
      <c r="C556" s="13">
        <v>5</v>
      </c>
      <c r="D556" s="13"/>
      <c r="E556" s="13"/>
      <c r="F556" s="13"/>
      <c r="G556" s="20"/>
      <c r="H556" s="20"/>
      <c r="I556" s="13"/>
      <c r="J556" s="13"/>
      <c r="K556" s="13"/>
      <c r="L556" s="13"/>
      <c r="M556" s="13"/>
      <c r="N556" s="13"/>
      <c r="O556" s="13"/>
      <c r="P556" s="13"/>
      <c r="Q556" s="13"/>
      <c r="R556" s="13"/>
      <c r="S556" s="13"/>
      <c r="T556" s="13"/>
      <c r="U556" s="13"/>
    </row>
    <row r="557" spans="1:21" ht="15.75" customHeight="1" x14ac:dyDescent="0.2">
      <c r="A557" s="33" t="s">
        <v>1652</v>
      </c>
      <c r="B557" s="13" t="s">
        <v>1653</v>
      </c>
      <c r="C557" s="13">
        <v>6</v>
      </c>
      <c r="D557" s="13"/>
      <c r="E557" s="13"/>
      <c r="F557" s="13"/>
      <c r="G557" s="20"/>
      <c r="H557" s="20"/>
      <c r="I557" s="13"/>
      <c r="J557" s="13"/>
      <c r="K557" s="13"/>
      <c r="L557" s="13"/>
      <c r="M557" s="13"/>
      <c r="N557" s="13"/>
      <c r="O557" s="13"/>
      <c r="P557" s="13"/>
      <c r="Q557" s="13"/>
      <c r="R557" s="13"/>
      <c r="S557" s="13"/>
      <c r="T557" s="13"/>
      <c r="U557" s="13"/>
    </row>
    <row r="558" spans="1:21" ht="15.75" customHeight="1" x14ac:dyDescent="0.2">
      <c r="A558" s="33" t="s">
        <v>1786</v>
      </c>
      <c r="B558" s="13" t="s">
        <v>1787</v>
      </c>
      <c r="C558" s="13">
        <v>6</v>
      </c>
      <c r="D558" s="13"/>
      <c r="E558" s="13"/>
      <c r="F558" s="13"/>
      <c r="G558" s="20"/>
      <c r="H558" s="20"/>
      <c r="I558" s="13"/>
      <c r="J558" s="13"/>
      <c r="K558" s="13"/>
      <c r="L558" s="13"/>
      <c r="M558" s="13"/>
      <c r="N558" s="13"/>
      <c r="O558" s="13"/>
      <c r="P558" s="13"/>
      <c r="Q558" s="13"/>
      <c r="R558" s="13"/>
      <c r="S558" s="13"/>
      <c r="T558" s="13"/>
      <c r="U558" s="13"/>
    </row>
    <row r="559" spans="1:21" ht="15.75" customHeight="1" x14ac:dyDescent="0.2">
      <c r="A559" s="33" t="s">
        <v>1654</v>
      </c>
      <c r="B559" s="13" t="s">
        <v>1655</v>
      </c>
      <c r="C559" s="13">
        <v>5</v>
      </c>
      <c r="D559" s="13"/>
      <c r="E559" s="13"/>
      <c r="F559" s="13"/>
      <c r="G559" s="20"/>
      <c r="H559" s="20"/>
      <c r="I559" s="13"/>
      <c r="J559" s="13"/>
      <c r="K559" s="13"/>
      <c r="L559" s="13"/>
      <c r="M559" s="13"/>
      <c r="N559" s="13"/>
      <c r="O559" s="13"/>
      <c r="P559" s="13"/>
      <c r="Q559" s="13"/>
      <c r="R559" s="13"/>
      <c r="S559" s="13"/>
      <c r="T559" s="13"/>
      <c r="U559" s="13"/>
    </row>
    <row r="560" spans="1:21" ht="15.75" customHeight="1" x14ac:dyDescent="0.2">
      <c r="A560" s="33" t="s">
        <v>1788</v>
      </c>
      <c r="B560" s="13" t="s">
        <v>1789</v>
      </c>
      <c r="C560" s="13">
        <v>5</v>
      </c>
      <c r="D560" s="13"/>
      <c r="E560" s="13"/>
      <c r="F560" s="13"/>
      <c r="G560" s="20"/>
      <c r="H560" s="20"/>
      <c r="I560" s="13"/>
      <c r="J560" s="13"/>
      <c r="K560" s="13"/>
      <c r="L560" s="13"/>
      <c r="M560" s="13"/>
      <c r="N560" s="13"/>
      <c r="O560" s="13"/>
      <c r="P560" s="13"/>
      <c r="Q560" s="13"/>
      <c r="R560" s="13"/>
      <c r="S560" s="13"/>
      <c r="T560" s="13"/>
      <c r="U560" s="13"/>
    </row>
    <row r="561" spans="1:21" ht="15.75" customHeight="1" x14ac:dyDescent="0.2">
      <c r="A561" s="33" t="s">
        <v>1790</v>
      </c>
      <c r="B561" s="13" t="s">
        <v>1791</v>
      </c>
      <c r="C561" s="13">
        <v>7</v>
      </c>
      <c r="D561" s="13"/>
      <c r="E561" s="13"/>
      <c r="F561" s="13"/>
      <c r="G561" s="20"/>
      <c r="H561" s="20"/>
      <c r="I561" s="13"/>
      <c r="J561" s="13"/>
      <c r="K561" s="13"/>
      <c r="L561" s="13"/>
      <c r="M561" s="13"/>
      <c r="N561" s="13"/>
      <c r="O561" s="13"/>
      <c r="P561" s="13"/>
      <c r="Q561" s="13"/>
      <c r="R561" s="13"/>
      <c r="S561" s="13"/>
      <c r="T561" s="13"/>
      <c r="U561" s="13"/>
    </row>
    <row r="562" spans="1:21" ht="15.75" customHeight="1" x14ac:dyDescent="0.2">
      <c r="A562" s="33" t="s">
        <v>1819</v>
      </c>
      <c r="B562" s="13" t="s">
        <v>1820</v>
      </c>
      <c r="C562" s="13">
        <v>1</v>
      </c>
      <c r="D562" s="13"/>
      <c r="E562" s="13"/>
      <c r="F562" s="13"/>
      <c r="G562" s="20"/>
      <c r="H562" s="20"/>
      <c r="I562" s="13"/>
      <c r="J562" s="13"/>
      <c r="K562" s="13"/>
      <c r="L562" s="13"/>
      <c r="M562" s="13"/>
      <c r="N562" s="13"/>
      <c r="O562" s="13"/>
      <c r="P562" s="13"/>
      <c r="Q562" s="13"/>
      <c r="R562" s="13"/>
      <c r="S562" s="13"/>
      <c r="T562" s="13"/>
      <c r="U562" s="13"/>
    </row>
    <row r="563" spans="1:21" ht="15.75" customHeight="1" x14ac:dyDescent="0.2">
      <c r="A563" s="33" t="s">
        <v>1656</v>
      </c>
      <c r="B563" s="13" t="s">
        <v>1657</v>
      </c>
      <c r="C563" s="13">
        <v>5</v>
      </c>
      <c r="D563" s="13"/>
      <c r="E563" s="13"/>
      <c r="F563" s="13"/>
      <c r="G563" s="20"/>
      <c r="H563" s="20"/>
      <c r="I563" s="13"/>
      <c r="J563" s="13"/>
      <c r="K563" s="13"/>
      <c r="L563" s="13"/>
      <c r="M563" s="13"/>
      <c r="N563" s="13"/>
      <c r="O563" s="13"/>
      <c r="P563" s="13"/>
      <c r="Q563" s="13"/>
      <c r="R563" s="13"/>
      <c r="S563" s="13"/>
      <c r="T563" s="13"/>
      <c r="U563" s="13"/>
    </row>
    <row r="564" spans="1:21" ht="15.75" customHeight="1" x14ac:dyDescent="0.2">
      <c r="A564" s="33" t="s">
        <v>1658</v>
      </c>
      <c r="B564" s="13" t="s">
        <v>1659</v>
      </c>
      <c r="C564" s="13">
        <v>5</v>
      </c>
      <c r="D564" s="13"/>
      <c r="E564" s="13"/>
      <c r="F564" s="13"/>
      <c r="G564" s="20"/>
      <c r="H564" s="20"/>
      <c r="I564" s="13"/>
      <c r="J564" s="13"/>
      <c r="K564" s="13"/>
      <c r="L564" s="13"/>
      <c r="M564" s="13"/>
      <c r="N564" s="13"/>
      <c r="O564" s="13"/>
      <c r="P564" s="13"/>
      <c r="Q564" s="13"/>
      <c r="R564" s="13"/>
      <c r="S564" s="13"/>
      <c r="T564" s="13"/>
      <c r="U564" s="13"/>
    </row>
    <row r="565" spans="1:21" ht="15.75" customHeight="1" x14ac:dyDescent="0.2">
      <c r="A565" s="33" t="s">
        <v>1660</v>
      </c>
      <c r="B565" s="13" t="s">
        <v>1661</v>
      </c>
      <c r="C565" s="13">
        <v>1</v>
      </c>
      <c r="D565" s="13"/>
      <c r="E565" s="13"/>
      <c r="F565" s="13"/>
      <c r="G565" s="20"/>
      <c r="H565" s="20"/>
      <c r="I565" s="13"/>
      <c r="J565" s="13"/>
      <c r="K565" s="13"/>
      <c r="L565" s="13"/>
      <c r="M565" s="13"/>
      <c r="N565" s="13"/>
      <c r="O565" s="13"/>
      <c r="P565" s="13"/>
      <c r="Q565" s="13"/>
      <c r="R565" s="13"/>
      <c r="S565" s="13"/>
      <c r="T565" s="13"/>
      <c r="U565" s="13"/>
    </row>
    <row r="566" spans="1:21" ht="15.75" customHeight="1" x14ac:dyDescent="0.2">
      <c r="A566" s="33" t="s">
        <v>1662</v>
      </c>
      <c r="B566" s="13" t="s">
        <v>1663</v>
      </c>
      <c r="C566" s="13">
        <v>6</v>
      </c>
      <c r="D566" s="13"/>
      <c r="E566" s="13"/>
      <c r="F566" s="13"/>
      <c r="G566" s="20"/>
      <c r="H566" s="20"/>
      <c r="I566" s="13"/>
      <c r="J566" s="13"/>
      <c r="K566" s="13"/>
      <c r="L566" s="13"/>
      <c r="M566" s="13"/>
      <c r="N566" s="13"/>
      <c r="O566" s="13"/>
      <c r="P566" s="13"/>
      <c r="Q566" s="13"/>
      <c r="R566" s="13"/>
      <c r="S566" s="13"/>
      <c r="T566" s="13"/>
      <c r="U566" s="13"/>
    </row>
    <row r="567" spans="1:21" ht="15.75" customHeight="1" x14ac:dyDescent="0.2">
      <c r="A567" s="33" t="s">
        <v>1460</v>
      </c>
      <c r="B567" s="13" t="s">
        <v>1461</v>
      </c>
      <c r="C567" s="13">
        <v>5</v>
      </c>
      <c r="D567" s="13"/>
      <c r="E567" s="13"/>
      <c r="F567" s="13"/>
      <c r="G567" s="20"/>
      <c r="H567" s="20"/>
      <c r="I567" s="13"/>
      <c r="J567" s="13"/>
      <c r="K567" s="13"/>
      <c r="L567" s="13"/>
      <c r="M567" s="13"/>
      <c r="N567" s="13"/>
      <c r="O567" s="13"/>
      <c r="P567" s="13"/>
      <c r="Q567" s="13"/>
      <c r="R567" s="13"/>
      <c r="S567" s="13"/>
      <c r="T567" s="13"/>
      <c r="U567" s="13"/>
    </row>
    <row r="568" spans="1:21" ht="15.75" customHeight="1" x14ac:dyDescent="0.2">
      <c r="A568" s="33" t="s">
        <v>1664</v>
      </c>
      <c r="B568" s="13" t="s">
        <v>1665</v>
      </c>
      <c r="C568" s="13">
        <v>4</v>
      </c>
      <c r="D568" s="13"/>
      <c r="E568" s="13"/>
      <c r="F568" s="13"/>
      <c r="G568" s="20"/>
      <c r="H568" s="20"/>
      <c r="I568" s="13"/>
      <c r="J568" s="13"/>
      <c r="K568" s="13"/>
      <c r="L568" s="13"/>
      <c r="M568" s="13"/>
      <c r="N568" s="13"/>
      <c r="O568" s="13"/>
      <c r="P568" s="13"/>
      <c r="Q568" s="13"/>
      <c r="R568" s="13"/>
      <c r="S568" s="13"/>
      <c r="T568" s="13"/>
      <c r="U568" s="13"/>
    </row>
    <row r="569" spans="1:21" ht="15.75" customHeight="1" x14ac:dyDescent="0.2">
      <c r="A569" s="33" t="s">
        <v>1666</v>
      </c>
      <c r="B569" s="13" t="s">
        <v>1667</v>
      </c>
      <c r="C569" s="13">
        <v>1</v>
      </c>
      <c r="D569" s="13"/>
      <c r="E569" s="13"/>
      <c r="F569" s="13"/>
      <c r="G569" s="20"/>
      <c r="H569" s="20"/>
      <c r="I569" s="13"/>
      <c r="J569" s="13"/>
      <c r="K569" s="13"/>
      <c r="L569" s="13"/>
      <c r="M569" s="13"/>
      <c r="N569" s="13"/>
      <c r="O569" s="13"/>
      <c r="P569" s="13"/>
      <c r="Q569" s="13"/>
      <c r="R569" s="13"/>
      <c r="S569" s="13"/>
      <c r="T569" s="13"/>
      <c r="U569" s="13"/>
    </row>
    <row r="570" spans="1:21" ht="15.75" customHeight="1" x14ac:dyDescent="0.2">
      <c r="A570" s="33" t="s">
        <v>1792</v>
      </c>
      <c r="B570" s="13" t="s">
        <v>1793</v>
      </c>
      <c r="C570" s="13">
        <v>5</v>
      </c>
      <c r="D570" s="13"/>
      <c r="E570" s="13"/>
      <c r="F570" s="13"/>
      <c r="G570" s="20"/>
      <c r="H570" s="20"/>
      <c r="I570" s="13"/>
      <c r="J570" s="13"/>
      <c r="K570" s="13"/>
      <c r="L570" s="13"/>
      <c r="M570" s="13"/>
      <c r="N570" s="13"/>
      <c r="O570" s="13"/>
      <c r="P570" s="13"/>
      <c r="Q570" s="13"/>
      <c r="R570" s="13"/>
      <c r="S570" s="13"/>
      <c r="T570" s="13"/>
      <c r="U570" s="13"/>
    </row>
    <row r="571" spans="1:21" ht="15.75" customHeight="1" x14ac:dyDescent="0.2">
      <c r="A571" s="33" t="s">
        <v>1668</v>
      </c>
      <c r="B571" s="13" t="s">
        <v>1669</v>
      </c>
      <c r="C571" s="13">
        <v>6</v>
      </c>
      <c r="D571" s="13"/>
      <c r="E571" s="13"/>
      <c r="F571" s="13"/>
      <c r="G571" s="20"/>
      <c r="H571" s="20"/>
      <c r="I571" s="13"/>
      <c r="J571" s="13"/>
      <c r="K571" s="13"/>
      <c r="L571" s="13"/>
      <c r="M571" s="13"/>
      <c r="N571" s="13"/>
      <c r="O571" s="13"/>
      <c r="P571" s="13"/>
      <c r="Q571" s="13"/>
      <c r="R571" s="13"/>
      <c r="S571" s="13"/>
      <c r="T571" s="13"/>
      <c r="U571" s="13"/>
    </row>
    <row r="572" spans="1:21" ht="15.75" customHeight="1" x14ac:dyDescent="0.2">
      <c r="A572" s="33" t="s">
        <v>1794</v>
      </c>
      <c r="B572" s="13" t="s">
        <v>1795</v>
      </c>
      <c r="C572" s="13">
        <v>8</v>
      </c>
      <c r="D572" s="13"/>
      <c r="E572" s="13"/>
      <c r="F572" s="13"/>
      <c r="G572" s="20"/>
      <c r="H572" s="20"/>
      <c r="I572" s="13"/>
      <c r="J572" s="13"/>
      <c r="K572" s="13"/>
      <c r="L572" s="13"/>
      <c r="M572" s="13"/>
      <c r="N572" s="13"/>
      <c r="O572" s="13"/>
      <c r="P572" s="13"/>
      <c r="Q572" s="13"/>
      <c r="R572" s="13"/>
      <c r="S572" s="13"/>
      <c r="T572" s="13"/>
      <c r="U572" s="13"/>
    </row>
    <row r="573" spans="1:21" ht="15.75" customHeight="1" x14ac:dyDescent="0.2">
      <c r="A573" s="33" t="s">
        <v>1796</v>
      </c>
      <c r="B573" s="13" t="s">
        <v>1797</v>
      </c>
      <c r="C573" s="13">
        <v>5</v>
      </c>
      <c r="D573" s="13"/>
      <c r="E573" s="13"/>
      <c r="F573" s="13"/>
      <c r="G573" s="20"/>
      <c r="H573" s="20"/>
      <c r="I573" s="13"/>
      <c r="J573" s="13"/>
      <c r="K573" s="13"/>
      <c r="L573" s="13"/>
      <c r="M573" s="13"/>
      <c r="N573" s="13"/>
      <c r="O573" s="13"/>
      <c r="P573" s="13"/>
      <c r="Q573" s="13"/>
      <c r="R573" s="13"/>
      <c r="S573" s="13"/>
      <c r="T573" s="13"/>
      <c r="U573" s="13"/>
    </row>
    <row r="574" spans="1:21" ht="15.75" customHeight="1" x14ac:dyDescent="0.2">
      <c r="A574" s="33" t="s">
        <v>1798</v>
      </c>
      <c r="B574" s="13" t="s">
        <v>1799</v>
      </c>
      <c r="C574" s="13">
        <v>4</v>
      </c>
      <c r="D574" s="13"/>
      <c r="E574" s="13"/>
      <c r="F574" s="13"/>
      <c r="G574" s="20"/>
      <c r="H574" s="20"/>
      <c r="I574" s="13"/>
      <c r="J574" s="13"/>
      <c r="K574" s="13"/>
      <c r="L574" s="13"/>
      <c r="M574" s="13"/>
      <c r="N574" s="13"/>
      <c r="O574" s="13"/>
      <c r="P574" s="13"/>
      <c r="Q574" s="13"/>
      <c r="R574" s="13"/>
      <c r="S574" s="13"/>
      <c r="T574" s="13"/>
      <c r="U574" s="13"/>
    </row>
    <row r="575" spans="1:21" ht="15.75" customHeight="1" x14ac:dyDescent="0.2">
      <c r="A575" s="33" t="s">
        <v>1670</v>
      </c>
      <c r="B575" s="13" t="s">
        <v>1671</v>
      </c>
      <c r="C575" s="13">
        <v>1</v>
      </c>
      <c r="D575" s="13"/>
      <c r="E575" s="13"/>
      <c r="F575" s="13"/>
      <c r="G575" s="20"/>
      <c r="H575" s="20"/>
      <c r="I575" s="13"/>
      <c r="J575" s="13"/>
      <c r="K575" s="13"/>
      <c r="L575" s="13"/>
      <c r="M575" s="13"/>
      <c r="N575" s="13"/>
      <c r="O575" s="13"/>
      <c r="P575" s="13"/>
      <c r="Q575" s="13"/>
      <c r="R575" s="13"/>
      <c r="S575" s="13"/>
      <c r="T575" s="13"/>
      <c r="U575" s="13"/>
    </row>
    <row r="576" spans="1:21" ht="15.75" customHeight="1" x14ac:dyDescent="0.2">
      <c r="A576" s="33" t="s">
        <v>709</v>
      </c>
      <c r="B576" s="13" t="s">
        <v>1821</v>
      </c>
      <c r="C576" s="13">
        <v>4</v>
      </c>
      <c r="D576" s="13"/>
      <c r="E576" s="13"/>
      <c r="F576" s="13"/>
      <c r="G576" s="20"/>
      <c r="H576" s="20"/>
      <c r="I576" s="13"/>
      <c r="J576" s="13"/>
      <c r="K576" s="13"/>
      <c r="L576" s="13"/>
      <c r="M576" s="13"/>
      <c r="N576" s="13"/>
      <c r="O576" s="13"/>
      <c r="P576" s="13"/>
      <c r="Q576" s="13"/>
      <c r="R576" s="13"/>
      <c r="S576" s="13"/>
      <c r="T576" s="13"/>
      <c r="U576" s="13"/>
    </row>
    <row r="577" spans="1:21" ht="15.75" customHeight="1" x14ac:dyDescent="0.2">
      <c r="A577" s="33" t="s">
        <v>1672</v>
      </c>
      <c r="B577" s="13" t="s">
        <v>1673</v>
      </c>
      <c r="C577" s="13">
        <v>5</v>
      </c>
      <c r="D577" s="13"/>
      <c r="E577" s="13"/>
      <c r="F577" s="13"/>
      <c r="G577" s="20"/>
      <c r="H577" s="20"/>
      <c r="I577" s="13"/>
      <c r="J577" s="13"/>
      <c r="K577" s="13"/>
      <c r="L577" s="13"/>
      <c r="M577" s="13"/>
      <c r="N577" s="13"/>
      <c r="O577" s="13"/>
      <c r="P577" s="13"/>
      <c r="Q577" s="13"/>
      <c r="R577" s="13"/>
      <c r="S577" s="13"/>
      <c r="T577" s="13"/>
      <c r="U577" s="13"/>
    </row>
    <row r="578" spans="1:21" ht="15.75" customHeight="1" x14ac:dyDescent="0.2">
      <c r="A578" s="33" t="s">
        <v>1674</v>
      </c>
      <c r="B578" s="13" t="s">
        <v>1675</v>
      </c>
      <c r="C578" s="13">
        <v>4</v>
      </c>
      <c r="D578" s="13"/>
      <c r="E578" s="13"/>
      <c r="F578" s="13"/>
      <c r="G578" s="20"/>
      <c r="H578" s="20"/>
      <c r="I578" s="13"/>
      <c r="J578" s="13"/>
      <c r="K578" s="13"/>
      <c r="L578" s="13"/>
      <c r="M578" s="13"/>
      <c r="N578" s="13"/>
      <c r="O578" s="13"/>
      <c r="P578" s="13"/>
      <c r="Q578" s="13"/>
      <c r="R578" s="13"/>
      <c r="S578" s="13"/>
      <c r="T578" s="13"/>
      <c r="U578" s="13"/>
    </row>
    <row r="579" spans="1:21" ht="15.75" customHeight="1" x14ac:dyDescent="0.2">
      <c r="A579" s="33" t="s">
        <v>1676</v>
      </c>
      <c r="B579" s="13" t="s">
        <v>1677</v>
      </c>
      <c r="C579" s="13">
        <v>6</v>
      </c>
      <c r="D579" s="13"/>
      <c r="E579" s="13"/>
      <c r="F579" s="13"/>
      <c r="G579" s="20"/>
      <c r="H579" s="20"/>
      <c r="I579" s="13"/>
      <c r="J579" s="13"/>
      <c r="K579" s="13"/>
      <c r="L579" s="13"/>
      <c r="M579" s="13"/>
      <c r="N579" s="13"/>
      <c r="O579" s="13"/>
      <c r="P579" s="13"/>
      <c r="Q579" s="13"/>
      <c r="R579" s="13"/>
      <c r="S579" s="13"/>
      <c r="T579" s="13"/>
      <c r="U579" s="13"/>
    </row>
    <row r="580" spans="1:21" ht="15.75" customHeight="1" x14ac:dyDescent="0.2">
      <c r="A580" s="33" t="s">
        <v>1678</v>
      </c>
      <c r="B580" s="13" t="s">
        <v>1679</v>
      </c>
      <c r="C580" s="13">
        <v>4</v>
      </c>
      <c r="D580" s="13"/>
      <c r="E580" s="13"/>
      <c r="F580" s="13"/>
      <c r="G580" s="20"/>
      <c r="H580" s="20"/>
      <c r="I580" s="13"/>
      <c r="J580" s="13"/>
      <c r="K580" s="13"/>
      <c r="L580" s="13"/>
      <c r="M580" s="13"/>
      <c r="N580" s="13"/>
      <c r="O580" s="13"/>
      <c r="P580" s="13"/>
      <c r="Q580" s="13"/>
      <c r="R580" s="13"/>
      <c r="S580" s="13"/>
      <c r="T580" s="13"/>
      <c r="U580" s="13"/>
    </row>
    <row r="581" spans="1:21" ht="15.75" customHeight="1" x14ac:dyDescent="0.2">
      <c r="A581" s="33" t="s">
        <v>1680</v>
      </c>
      <c r="B581" s="13" t="s">
        <v>1681</v>
      </c>
      <c r="C581" s="13">
        <v>3</v>
      </c>
      <c r="D581" s="13"/>
      <c r="E581" s="13"/>
      <c r="F581" s="13"/>
      <c r="G581" s="20"/>
      <c r="H581" s="20"/>
      <c r="I581" s="13"/>
      <c r="J581" s="13"/>
      <c r="K581" s="13"/>
      <c r="L581" s="13"/>
      <c r="M581" s="13"/>
      <c r="N581" s="13"/>
      <c r="O581" s="13"/>
      <c r="P581" s="13"/>
      <c r="Q581" s="13"/>
      <c r="R581" s="13"/>
      <c r="S581" s="13"/>
      <c r="T581" s="13"/>
      <c r="U581" s="13"/>
    </row>
    <row r="582" spans="1:21" ht="15.75" customHeight="1" x14ac:dyDescent="0.2">
      <c r="A582" s="33" t="s">
        <v>1682</v>
      </c>
      <c r="B582" s="13" t="s">
        <v>1683</v>
      </c>
      <c r="C582" s="13">
        <v>1</v>
      </c>
      <c r="D582" s="13"/>
      <c r="E582" s="13"/>
      <c r="F582" s="13"/>
      <c r="G582" s="20"/>
      <c r="H582" s="20"/>
      <c r="I582" s="13"/>
      <c r="J582" s="13"/>
      <c r="K582" s="13"/>
      <c r="L582" s="13"/>
      <c r="M582" s="13"/>
      <c r="N582" s="13"/>
      <c r="O582" s="13"/>
      <c r="P582" s="13"/>
      <c r="Q582" s="13"/>
      <c r="R582" s="13"/>
      <c r="S582" s="13"/>
      <c r="T582" s="13"/>
      <c r="U582" s="13"/>
    </row>
    <row r="583" spans="1:21" ht="15.75" customHeight="1" x14ac:dyDescent="0.2">
      <c r="A583" s="33" t="s">
        <v>1800</v>
      </c>
      <c r="B583" s="13" t="s">
        <v>1801</v>
      </c>
      <c r="C583" s="13">
        <v>5</v>
      </c>
      <c r="D583" s="13"/>
      <c r="E583" s="13"/>
      <c r="F583" s="13"/>
      <c r="G583" s="20"/>
      <c r="H583" s="20"/>
      <c r="I583" s="13"/>
      <c r="J583" s="13"/>
      <c r="K583" s="13"/>
      <c r="L583" s="13"/>
      <c r="M583" s="13"/>
      <c r="N583" s="13"/>
      <c r="O583" s="13"/>
      <c r="P583" s="13"/>
      <c r="Q583" s="13"/>
      <c r="R583" s="13"/>
      <c r="S583" s="13"/>
      <c r="T583" s="13"/>
      <c r="U583" s="13"/>
    </row>
    <row r="584" spans="1:21" ht="15.75" customHeight="1" x14ac:dyDescent="0.2">
      <c r="A584" s="33" t="s">
        <v>1684</v>
      </c>
      <c r="B584" s="13" t="s">
        <v>1685</v>
      </c>
      <c r="C584" s="13">
        <v>3</v>
      </c>
      <c r="D584" s="13"/>
      <c r="E584" s="13"/>
      <c r="F584" s="13"/>
      <c r="G584" s="20"/>
      <c r="H584" s="20"/>
      <c r="I584" s="13"/>
      <c r="J584" s="13"/>
      <c r="K584" s="13"/>
      <c r="L584" s="13"/>
      <c r="M584" s="13"/>
      <c r="N584" s="13"/>
      <c r="O584" s="13"/>
      <c r="P584" s="13"/>
      <c r="Q584" s="13"/>
      <c r="R584" s="13"/>
      <c r="S584" s="13"/>
      <c r="T584" s="13"/>
      <c r="U584" s="13"/>
    </row>
    <row r="585" spans="1:21" ht="15.75" customHeight="1" x14ac:dyDescent="0.2">
      <c r="A585" s="33" t="s">
        <v>1686</v>
      </c>
      <c r="B585" s="24" t="s">
        <v>1687</v>
      </c>
      <c r="C585" s="13">
        <v>7</v>
      </c>
      <c r="D585" s="13"/>
      <c r="E585" s="13"/>
      <c r="F585" s="13"/>
      <c r="G585" s="20"/>
      <c r="H585" s="20"/>
      <c r="I585" s="13"/>
      <c r="J585" s="13"/>
      <c r="K585" s="13"/>
      <c r="L585" s="13"/>
      <c r="M585" s="13"/>
      <c r="N585" s="13"/>
      <c r="O585" s="13"/>
      <c r="P585" s="13"/>
      <c r="Q585" s="13"/>
      <c r="R585" s="13"/>
      <c r="S585" s="13"/>
      <c r="T585" s="13"/>
      <c r="U585" s="13"/>
    </row>
    <row r="586" spans="1:21" ht="15.75" customHeight="1" x14ac:dyDescent="0.2">
      <c r="A586" s="33" t="s">
        <v>1242</v>
      </c>
      <c r="B586" s="13" t="s">
        <v>1462</v>
      </c>
      <c r="C586" s="13">
        <v>6</v>
      </c>
      <c r="D586" s="13"/>
      <c r="E586" s="13"/>
      <c r="F586" s="13"/>
      <c r="G586" s="20"/>
      <c r="H586" s="20"/>
      <c r="I586" s="13"/>
      <c r="J586" s="13"/>
      <c r="K586" s="13"/>
      <c r="L586" s="13"/>
      <c r="M586" s="13"/>
      <c r="N586" s="13"/>
      <c r="O586" s="13"/>
      <c r="P586" s="13"/>
      <c r="Q586" s="13"/>
      <c r="R586" s="13"/>
      <c r="S586" s="13"/>
      <c r="T586" s="13"/>
      <c r="U586" s="13"/>
    </row>
    <row r="587" spans="1:21" ht="15.75" customHeight="1" x14ac:dyDescent="0.2">
      <c r="A587" s="33" t="s">
        <v>1688</v>
      </c>
      <c r="B587" s="13" t="s">
        <v>1689</v>
      </c>
      <c r="C587" s="13">
        <v>4</v>
      </c>
      <c r="D587" s="13"/>
      <c r="E587" s="13"/>
      <c r="F587" s="13"/>
      <c r="G587" s="20"/>
      <c r="H587" s="20"/>
      <c r="I587" s="13"/>
      <c r="J587" s="13"/>
      <c r="K587" s="13"/>
      <c r="L587" s="13"/>
      <c r="M587" s="13"/>
      <c r="N587" s="13"/>
      <c r="O587" s="13"/>
      <c r="P587" s="13"/>
      <c r="Q587" s="13"/>
      <c r="R587" s="13"/>
      <c r="S587" s="13"/>
      <c r="T587" s="13"/>
      <c r="U587" s="13"/>
    </row>
    <row r="588" spans="1:21" ht="15.75" customHeight="1" x14ac:dyDescent="0.2">
      <c r="A588" s="33" t="s">
        <v>1802</v>
      </c>
      <c r="B588" s="13" t="s">
        <v>1803</v>
      </c>
      <c r="C588" s="13">
        <v>6</v>
      </c>
      <c r="D588" s="13"/>
      <c r="E588" s="13"/>
      <c r="F588" s="13"/>
      <c r="G588" s="20"/>
      <c r="H588" s="20"/>
      <c r="I588" s="13"/>
      <c r="J588" s="13"/>
      <c r="K588" s="13"/>
      <c r="L588" s="13"/>
      <c r="M588" s="13"/>
      <c r="N588" s="13"/>
      <c r="O588" s="13"/>
      <c r="P588" s="13"/>
      <c r="Q588" s="13"/>
      <c r="R588" s="13"/>
      <c r="S588" s="13"/>
      <c r="T588" s="13"/>
      <c r="U588" s="13"/>
    </row>
    <row r="589" spans="1:21" ht="15.75" customHeight="1" x14ac:dyDescent="0.2">
      <c r="A589" s="33" t="s">
        <v>1822</v>
      </c>
      <c r="B589" s="13" t="s">
        <v>1823</v>
      </c>
      <c r="C589" s="13">
        <v>8</v>
      </c>
      <c r="D589" s="13"/>
      <c r="E589" s="13"/>
      <c r="F589" s="13"/>
      <c r="G589" s="20"/>
      <c r="H589" s="20"/>
      <c r="I589" s="13"/>
      <c r="J589" s="13"/>
      <c r="K589" s="13"/>
      <c r="L589" s="13"/>
      <c r="M589" s="13"/>
      <c r="N589" s="13"/>
      <c r="O589" s="13"/>
      <c r="P589" s="13"/>
      <c r="Q589" s="13"/>
      <c r="R589" s="13"/>
      <c r="S589" s="13"/>
      <c r="T589" s="13"/>
      <c r="U589" s="13"/>
    </row>
    <row r="590" spans="1:21" ht="15.75" customHeight="1" x14ac:dyDescent="0.2">
      <c r="A590" s="33" t="s">
        <v>1690</v>
      </c>
      <c r="B590" s="13" t="s">
        <v>1691</v>
      </c>
      <c r="C590" s="13">
        <v>5</v>
      </c>
      <c r="D590" s="13"/>
      <c r="E590" s="13"/>
      <c r="F590" s="13"/>
      <c r="G590" s="20"/>
      <c r="H590" s="20"/>
      <c r="I590" s="13"/>
      <c r="J590" s="13"/>
      <c r="K590" s="13"/>
      <c r="L590" s="13"/>
      <c r="M590" s="13"/>
      <c r="N590" s="13"/>
      <c r="O590" s="13"/>
      <c r="P590" s="13"/>
      <c r="Q590" s="13"/>
      <c r="R590" s="13"/>
      <c r="S590" s="13"/>
      <c r="T590" s="13"/>
      <c r="U590" s="13"/>
    </row>
    <row r="591" spans="1:21" ht="15.75" customHeight="1" x14ac:dyDescent="0.2">
      <c r="A591" s="33" t="s">
        <v>1824</v>
      </c>
      <c r="B591" s="13" t="s">
        <v>1825</v>
      </c>
      <c r="C591" s="13">
        <v>1</v>
      </c>
      <c r="D591" s="13"/>
      <c r="E591" s="13"/>
      <c r="F591" s="13"/>
      <c r="G591" s="20"/>
      <c r="H591" s="20"/>
      <c r="I591" s="13"/>
      <c r="J591" s="13"/>
      <c r="K591" s="13"/>
      <c r="L591" s="13"/>
      <c r="M591" s="13"/>
      <c r="N591" s="13"/>
      <c r="O591" s="13"/>
      <c r="P591" s="13"/>
      <c r="Q591" s="13"/>
      <c r="R591" s="13"/>
      <c r="S591" s="13"/>
      <c r="T591" s="13"/>
      <c r="U591" s="13"/>
    </row>
    <row r="592" spans="1:21" ht="15.75" customHeight="1" x14ac:dyDescent="0.2">
      <c r="A592" s="33" t="s">
        <v>1734</v>
      </c>
      <c r="B592" s="13" t="s">
        <v>1735</v>
      </c>
      <c r="C592" s="13">
        <v>2</v>
      </c>
      <c r="D592" s="13"/>
      <c r="E592" s="13"/>
      <c r="F592" s="13"/>
      <c r="G592" s="20"/>
      <c r="H592" s="20"/>
      <c r="I592" s="13"/>
      <c r="J592" s="13"/>
      <c r="K592" s="13"/>
      <c r="L592" s="13"/>
      <c r="M592" s="13"/>
      <c r="N592" s="13"/>
      <c r="O592" s="13"/>
      <c r="P592" s="13"/>
      <c r="Q592" s="13"/>
      <c r="R592" s="13"/>
      <c r="S592" s="13"/>
      <c r="T592" s="13"/>
      <c r="U592" s="13"/>
    </row>
    <row r="593" spans="1:21" ht="15.75" customHeight="1" x14ac:dyDescent="0.2">
      <c r="A593" s="33" t="s">
        <v>1692</v>
      </c>
      <c r="B593" s="13" t="s">
        <v>1693</v>
      </c>
      <c r="C593" s="13">
        <v>4</v>
      </c>
      <c r="D593" s="13"/>
      <c r="E593" s="13"/>
      <c r="F593" s="13"/>
      <c r="G593" s="20"/>
      <c r="H593" s="20"/>
      <c r="I593" s="13"/>
      <c r="J593" s="13"/>
      <c r="K593" s="13"/>
      <c r="L593" s="13"/>
      <c r="M593" s="13"/>
      <c r="N593" s="13"/>
      <c r="O593" s="13"/>
      <c r="P593" s="13"/>
      <c r="Q593" s="13"/>
      <c r="R593" s="13"/>
      <c r="S593" s="13"/>
      <c r="T593" s="13"/>
      <c r="U593" s="13"/>
    </row>
    <row r="594" spans="1:21" ht="15.75" customHeight="1" x14ac:dyDescent="0.2">
      <c r="A594" s="33" t="s">
        <v>1804</v>
      </c>
      <c r="B594" s="13">
        <v>81946</v>
      </c>
      <c r="C594" s="13">
        <v>4</v>
      </c>
      <c r="D594" s="13"/>
      <c r="E594" s="13"/>
      <c r="F594" s="13"/>
      <c r="G594" s="20"/>
      <c r="H594" s="20"/>
      <c r="I594" s="13"/>
      <c r="J594" s="13"/>
      <c r="K594" s="13"/>
      <c r="L594" s="13"/>
      <c r="M594" s="13"/>
      <c r="N594" s="13"/>
      <c r="O594" s="13"/>
      <c r="P594" s="13"/>
      <c r="Q594" s="13"/>
      <c r="R594" s="13"/>
      <c r="S594" s="13"/>
      <c r="T594" s="13"/>
      <c r="U594" s="13"/>
    </row>
    <row r="595" spans="1:21" ht="15.75" customHeight="1" x14ac:dyDescent="0.2">
      <c r="A595" s="33" t="s">
        <v>1463</v>
      </c>
      <c r="B595" s="13" t="s">
        <v>1464</v>
      </c>
      <c r="C595" s="13">
        <v>4</v>
      </c>
      <c r="D595" s="13"/>
      <c r="E595" s="13"/>
      <c r="F595" s="13"/>
      <c r="G595" s="20"/>
      <c r="H595" s="20"/>
      <c r="I595" s="13"/>
      <c r="J595" s="13"/>
      <c r="K595" s="13"/>
      <c r="L595" s="13"/>
      <c r="M595" s="13"/>
      <c r="N595" s="13"/>
      <c r="O595" s="13"/>
      <c r="P595" s="13"/>
      <c r="Q595" s="13"/>
      <c r="R595" s="13"/>
      <c r="S595" s="13"/>
      <c r="T595" s="13"/>
      <c r="U595" s="13"/>
    </row>
    <row r="596" spans="1:21" ht="15.75" customHeight="1" x14ac:dyDescent="0.2">
      <c r="A596" s="33" t="s">
        <v>1694</v>
      </c>
      <c r="B596" s="13" t="s">
        <v>1695</v>
      </c>
      <c r="C596" s="13">
        <v>7</v>
      </c>
      <c r="D596" s="13"/>
      <c r="E596" s="13"/>
      <c r="F596" s="13"/>
      <c r="G596" s="20"/>
      <c r="H596" s="20"/>
      <c r="I596" s="13"/>
      <c r="J596" s="13"/>
      <c r="K596" s="13"/>
      <c r="L596" s="13"/>
      <c r="M596" s="13"/>
      <c r="N596" s="13"/>
      <c r="O596" s="13"/>
      <c r="P596" s="13"/>
      <c r="Q596" s="13"/>
      <c r="R596" s="13"/>
      <c r="S596" s="13"/>
      <c r="T596" s="13"/>
      <c r="U596" s="13"/>
    </row>
    <row r="597" spans="1:21" ht="15.75" customHeight="1" x14ac:dyDescent="0.2">
      <c r="A597" s="33" t="s">
        <v>1732</v>
      </c>
      <c r="B597" s="13" t="s">
        <v>1733</v>
      </c>
      <c r="C597" s="13">
        <v>5</v>
      </c>
      <c r="D597" s="13"/>
      <c r="E597" s="13"/>
      <c r="F597" s="13"/>
      <c r="G597" s="20"/>
      <c r="H597" s="20"/>
      <c r="I597" s="13"/>
      <c r="J597" s="13"/>
      <c r="K597" s="13"/>
      <c r="L597" s="13"/>
      <c r="M597" s="13"/>
      <c r="N597" s="13"/>
      <c r="O597" s="13"/>
      <c r="P597" s="13"/>
      <c r="Q597" s="13"/>
      <c r="R597" s="13"/>
      <c r="S597" s="13"/>
      <c r="T597" s="13"/>
      <c r="U597" s="13"/>
    </row>
    <row r="598" spans="1:21" ht="15.75" customHeight="1" x14ac:dyDescent="0.2">
      <c r="A598" s="33" t="s">
        <v>1465</v>
      </c>
      <c r="B598" s="13" t="s">
        <v>1466</v>
      </c>
      <c r="C598" s="13">
        <v>3</v>
      </c>
      <c r="D598" s="13"/>
      <c r="E598" s="13"/>
      <c r="F598" s="13"/>
      <c r="G598" s="20"/>
      <c r="H598" s="20"/>
      <c r="I598" s="13"/>
      <c r="J598" s="13"/>
      <c r="K598" s="13"/>
      <c r="L598" s="13"/>
      <c r="M598" s="13"/>
      <c r="N598" s="13"/>
      <c r="O598" s="13"/>
      <c r="P598" s="13"/>
      <c r="Q598" s="13"/>
      <c r="R598" s="13"/>
      <c r="S598" s="13"/>
      <c r="T598" s="13"/>
      <c r="U598" s="13"/>
    </row>
    <row r="599" spans="1:21" ht="15.75" customHeight="1" x14ac:dyDescent="0.2">
      <c r="A599" s="33" t="s">
        <v>1696</v>
      </c>
      <c r="B599" s="13" t="s">
        <v>1697</v>
      </c>
      <c r="C599" s="13">
        <v>5</v>
      </c>
      <c r="D599" s="13"/>
      <c r="E599" s="13"/>
      <c r="F599" s="13"/>
      <c r="G599" s="20"/>
      <c r="H599" s="20"/>
      <c r="I599" s="13"/>
      <c r="J599" s="13"/>
      <c r="K599" s="13"/>
      <c r="L599" s="13"/>
      <c r="M599" s="13"/>
      <c r="N599" s="13"/>
      <c r="O599" s="13"/>
      <c r="P599" s="13"/>
      <c r="Q599" s="13"/>
      <c r="R599" s="13"/>
      <c r="S599" s="13"/>
      <c r="T599" s="13"/>
      <c r="U599" s="13"/>
    </row>
    <row r="600" spans="1:21" ht="15.75" customHeight="1" x14ac:dyDescent="0.2">
      <c r="A600" s="33" t="s">
        <v>1805</v>
      </c>
      <c r="B600" s="13" t="s">
        <v>1806</v>
      </c>
      <c r="C600" s="13">
        <v>6</v>
      </c>
      <c r="D600" s="13"/>
      <c r="E600" s="13"/>
      <c r="F600" s="13"/>
      <c r="G600" s="20"/>
      <c r="H600" s="20"/>
      <c r="I600" s="13"/>
      <c r="J600" s="13"/>
      <c r="K600" s="13"/>
      <c r="L600" s="13"/>
      <c r="M600" s="13"/>
      <c r="N600" s="13"/>
      <c r="O600" s="13"/>
      <c r="P600" s="13"/>
      <c r="Q600" s="13"/>
      <c r="R600" s="13"/>
      <c r="S600" s="13"/>
      <c r="T600" s="13"/>
      <c r="U600" s="13"/>
    </row>
    <row r="601" spans="1:21" ht="15.75" customHeight="1" x14ac:dyDescent="0.2">
      <c r="A601" s="33" t="s">
        <v>1698</v>
      </c>
      <c r="B601" s="13" t="s">
        <v>1699</v>
      </c>
      <c r="C601" s="13">
        <v>3</v>
      </c>
      <c r="D601" s="13"/>
      <c r="E601" s="13"/>
      <c r="F601" s="13"/>
      <c r="G601" s="20"/>
      <c r="H601" s="20"/>
      <c r="I601" s="13"/>
      <c r="J601" s="13"/>
      <c r="K601" s="13"/>
      <c r="L601" s="13"/>
      <c r="M601" s="13"/>
      <c r="N601" s="13"/>
      <c r="O601" s="13"/>
      <c r="P601" s="13"/>
      <c r="Q601" s="13"/>
      <c r="R601" s="13"/>
      <c r="S601" s="13"/>
      <c r="T601" s="13"/>
      <c r="U601" s="13"/>
    </row>
    <row r="602" spans="1:21" ht="15.75" customHeight="1" x14ac:dyDescent="0.2">
      <c r="A602" s="33" t="s">
        <v>1700</v>
      </c>
      <c r="B602" s="13" t="s">
        <v>1701</v>
      </c>
      <c r="C602" s="13">
        <v>1</v>
      </c>
      <c r="D602" s="13"/>
      <c r="E602" s="13"/>
      <c r="F602" s="13"/>
      <c r="G602" s="20"/>
      <c r="H602" s="20"/>
      <c r="I602" s="13"/>
      <c r="J602" s="13"/>
      <c r="K602" s="13"/>
      <c r="L602" s="13"/>
      <c r="M602" s="13"/>
      <c r="N602" s="13"/>
      <c r="O602" s="13"/>
      <c r="P602" s="13"/>
      <c r="Q602" s="13"/>
      <c r="R602" s="13"/>
      <c r="S602" s="13"/>
      <c r="T602" s="13"/>
      <c r="U602" s="13"/>
    </row>
    <row r="603" spans="1:21" ht="15.75" customHeight="1" x14ac:dyDescent="0.2">
      <c r="A603" s="33" t="s">
        <v>1807</v>
      </c>
      <c r="B603" s="13" t="s">
        <v>1808</v>
      </c>
      <c r="C603" s="13">
        <v>1</v>
      </c>
      <c r="D603" s="13"/>
      <c r="E603" s="13"/>
      <c r="F603" s="13"/>
      <c r="G603" s="20"/>
      <c r="H603" s="20"/>
      <c r="I603" s="13"/>
      <c r="J603" s="13"/>
      <c r="K603" s="13"/>
      <c r="L603" s="13"/>
      <c r="M603" s="13"/>
      <c r="N603" s="13"/>
      <c r="O603" s="13"/>
      <c r="P603" s="13"/>
      <c r="Q603" s="13"/>
      <c r="R603" s="13"/>
      <c r="S603" s="13"/>
      <c r="T603" s="13"/>
      <c r="U603" s="13"/>
    </row>
    <row r="604" spans="1:21" ht="15.75" customHeight="1" x14ac:dyDescent="0.2">
      <c r="A604" s="33" t="s">
        <v>1702</v>
      </c>
      <c r="B604" s="13" t="s">
        <v>1703</v>
      </c>
      <c r="C604" s="13">
        <v>1</v>
      </c>
      <c r="D604" s="13"/>
      <c r="E604" s="13"/>
      <c r="F604" s="13"/>
      <c r="G604" s="20"/>
      <c r="H604" s="20"/>
      <c r="I604" s="13"/>
      <c r="J604" s="13"/>
      <c r="K604" s="13"/>
      <c r="L604" s="13"/>
      <c r="M604" s="13"/>
      <c r="N604" s="13"/>
      <c r="O604" s="13"/>
      <c r="P604" s="13"/>
      <c r="Q604" s="13"/>
      <c r="R604" s="13"/>
      <c r="S604" s="13"/>
      <c r="T604" s="13"/>
      <c r="U604" s="13"/>
    </row>
    <row r="605" spans="1:21" ht="15.75" customHeight="1" x14ac:dyDescent="0.2">
      <c r="A605" s="33" t="s">
        <v>1826</v>
      </c>
      <c r="B605" s="13" t="s">
        <v>1827</v>
      </c>
      <c r="C605" s="13">
        <v>4</v>
      </c>
      <c r="D605" s="13"/>
      <c r="E605" s="13"/>
      <c r="F605" s="13"/>
      <c r="G605" s="20"/>
      <c r="H605" s="20"/>
      <c r="I605" s="13"/>
      <c r="J605" s="13"/>
      <c r="K605" s="13"/>
      <c r="L605" s="13"/>
      <c r="M605" s="13"/>
      <c r="N605" s="13"/>
      <c r="O605" s="13"/>
      <c r="P605" s="13"/>
      <c r="Q605" s="13"/>
      <c r="R605" s="13"/>
      <c r="S605" s="13"/>
      <c r="T605" s="13"/>
      <c r="U605" s="13"/>
    </row>
    <row r="606" spans="1:21" ht="15.75" customHeight="1" x14ac:dyDescent="0.2">
      <c r="A606" s="33" t="s">
        <v>1809</v>
      </c>
      <c r="B606" s="13" t="s">
        <v>1810</v>
      </c>
      <c r="C606" s="13">
        <v>1</v>
      </c>
      <c r="D606" s="13"/>
      <c r="E606" s="13"/>
      <c r="F606" s="13"/>
      <c r="G606" s="20"/>
      <c r="H606" s="20"/>
      <c r="I606" s="13"/>
      <c r="J606" s="13"/>
      <c r="K606" s="13"/>
      <c r="L606" s="13"/>
      <c r="M606" s="13"/>
      <c r="N606" s="13"/>
      <c r="O606" s="13"/>
      <c r="P606" s="13"/>
      <c r="Q606" s="13"/>
      <c r="R606" s="13"/>
      <c r="S606" s="13"/>
      <c r="T606" s="13"/>
      <c r="U606" s="13"/>
    </row>
    <row r="607" spans="1:21" ht="15.75" customHeight="1" x14ac:dyDescent="0.2">
      <c r="A607" s="33" t="s">
        <v>1811</v>
      </c>
      <c r="B607" s="13" t="s">
        <v>1812</v>
      </c>
      <c r="C607" s="13">
        <v>4</v>
      </c>
      <c r="D607" s="13"/>
      <c r="E607" s="13"/>
      <c r="F607" s="13"/>
      <c r="G607" s="20"/>
      <c r="H607" s="20"/>
      <c r="I607" s="13"/>
      <c r="J607" s="13"/>
      <c r="K607" s="13"/>
      <c r="L607" s="13"/>
      <c r="M607" s="13"/>
      <c r="N607" s="13"/>
      <c r="O607" s="13"/>
      <c r="P607" s="13"/>
      <c r="Q607" s="13"/>
      <c r="R607" s="13"/>
      <c r="S607" s="13"/>
      <c r="T607" s="13"/>
      <c r="U607" s="13"/>
    </row>
    <row r="608" spans="1:21" ht="15.75" customHeight="1" x14ac:dyDescent="0.2">
      <c r="A608" s="33" t="s">
        <v>1828</v>
      </c>
      <c r="B608" s="13" t="s">
        <v>1829</v>
      </c>
      <c r="C608" s="13">
        <v>4</v>
      </c>
      <c r="D608" s="13"/>
      <c r="E608" s="13"/>
      <c r="F608" s="13"/>
      <c r="G608" s="20"/>
      <c r="H608" s="20"/>
      <c r="I608" s="13"/>
      <c r="J608" s="13"/>
      <c r="K608" s="13"/>
      <c r="L608" s="13"/>
      <c r="M608" s="13"/>
      <c r="N608" s="13"/>
      <c r="O608" s="13"/>
      <c r="P608" s="13"/>
      <c r="Q608" s="13"/>
      <c r="R608" s="13"/>
      <c r="S608" s="13"/>
      <c r="T608" s="13"/>
      <c r="U608" s="13"/>
    </row>
    <row r="609" spans="1:21" ht="15.75" customHeight="1" x14ac:dyDescent="0.2">
      <c r="A609" s="33" t="s">
        <v>1730</v>
      </c>
      <c r="B609" s="13" t="s">
        <v>1731</v>
      </c>
      <c r="C609" s="13">
        <v>4</v>
      </c>
      <c r="D609" s="13"/>
      <c r="E609" s="13"/>
      <c r="F609" s="13"/>
      <c r="G609" s="20"/>
      <c r="H609" s="20"/>
      <c r="I609" s="13"/>
      <c r="J609" s="13"/>
      <c r="K609" s="13"/>
      <c r="L609" s="13"/>
      <c r="M609" s="13"/>
      <c r="N609" s="13"/>
      <c r="O609" s="13"/>
      <c r="P609" s="13"/>
      <c r="Q609" s="13"/>
      <c r="R609" s="13"/>
      <c r="S609" s="13"/>
      <c r="T609" s="13"/>
      <c r="U609" s="13"/>
    </row>
    <row r="610" spans="1:21" ht="15.75" customHeight="1" x14ac:dyDescent="0.2">
      <c r="A610" s="33" t="s">
        <v>1704</v>
      </c>
      <c r="B610" s="13" t="s">
        <v>1705</v>
      </c>
      <c r="C610" s="13">
        <v>2</v>
      </c>
      <c r="D610" s="13"/>
      <c r="E610" s="13"/>
      <c r="F610" s="13"/>
      <c r="G610" s="20"/>
      <c r="H610" s="20"/>
      <c r="I610" s="13"/>
      <c r="J610" s="13"/>
      <c r="K610" s="13"/>
      <c r="L610" s="13"/>
      <c r="M610" s="13"/>
      <c r="N610" s="13"/>
      <c r="O610" s="13"/>
      <c r="P610" s="13"/>
      <c r="Q610" s="13"/>
      <c r="R610" s="13"/>
      <c r="S610" s="13"/>
      <c r="T610" s="13"/>
      <c r="U610" s="13"/>
    </row>
    <row r="611" spans="1:21" ht="15.75" customHeight="1" x14ac:dyDescent="0.2">
      <c r="A611" s="33" t="s">
        <v>1467</v>
      </c>
      <c r="B611" s="13" t="s">
        <v>291</v>
      </c>
      <c r="C611" s="13">
        <v>6</v>
      </c>
      <c r="D611" s="13"/>
      <c r="E611" s="13"/>
      <c r="F611" s="13"/>
      <c r="G611" s="20"/>
      <c r="H611" s="20"/>
      <c r="I611" s="13"/>
      <c r="J611" s="13"/>
      <c r="K611" s="13"/>
      <c r="L611" s="13"/>
      <c r="M611" s="13"/>
      <c r="N611" s="13"/>
      <c r="O611" s="13"/>
      <c r="P611" s="13"/>
      <c r="Q611" s="13"/>
      <c r="R611" s="13"/>
      <c r="S611" s="13"/>
      <c r="T611" s="13"/>
      <c r="U611" s="13"/>
    </row>
    <row r="612" spans="1:21" ht="15.75" customHeight="1" x14ac:dyDescent="0.2">
      <c r="A612" s="33" t="s">
        <v>1706</v>
      </c>
      <c r="B612" s="13" t="s">
        <v>1707</v>
      </c>
      <c r="C612" s="13">
        <v>6</v>
      </c>
      <c r="D612" s="13"/>
      <c r="E612" s="13"/>
      <c r="F612" s="13"/>
      <c r="G612" s="20"/>
      <c r="H612" s="20"/>
      <c r="I612" s="13"/>
      <c r="J612" s="13"/>
      <c r="K612" s="13"/>
      <c r="L612" s="13"/>
      <c r="M612" s="13"/>
      <c r="N612" s="13"/>
      <c r="O612" s="13"/>
      <c r="P612" s="13"/>
      <c r="Q612" s="13"/>
      <c r="R612" s="13"/>
      <c r="S612" s="13"/>
      <c r="T612" s="13"/>
      <c r="U612" s="13"/>
    </row>
    <row r="613" spans="1:21" ht="15.75" customHeight="1" x14ac:dyDescent="0.2">
      <c r="A613" s="33" t="s">
        <v>1830</v>
      </c>
      <c r="B613" s="13" t="s">
        <v>291</v>
      </c>
      <c r="C613" s="13">
        <v>6</v>
      </c>
      <c r="D613" s="13"/>
      <c r="E613" s="13"/>
      <c r="F613" s="13"/>
      <c r="G613" s="20"/>
      <c r="H613" s="20"/>
      <c r="I613" s="13"/>
      <c r="J613" s="13"/>
      <c r="K613" s="13"/>
      <c r="L613" s="13"/>
      <c r="M613" s="13"/>
      <c r="N613" s="13"/>
      <c r="O613" s="13"/>
      <c r="P613" s="13"/>
      <c r="Q613" s="13"/>
      <c r="R613" s="13"/>
      <c r="S613" s="13"/>
      <c r="T613" s="13"/>
      <c r="U613" s="13"/>
    </row>
    <row r="614" spans="1:21" ht="15.75" customHeight="1" x14ac:dyDescent="0.2">
      <c r="A614" s="33" t="s">
        <v>1854</v>
      </c>
      <c r="B614" s="13" t="s">
        <v>1855</v>
      </c>
      <c r="C614" s="13"/>
      <c r="D614" s="13"/>
      <c r="E614" s="13"/>
      <c r="F614" s="13"/>
      <c r="G614" s="13"/>
      <c r="H614" s="20" t="s">
        <v>2794</v>
      </c>
      <c r="I614" s="13" t="s">
        <v>2282</v>
      </c>
      <c r="J614" s="13"/>
      <c r="K614" s="13" t="s">
        <v>2276</v>
      </c>
      <c r="L614" s="20" t="s">
        <v>2774</v>
      </c>
      <c r="M614" s="13" t="s">
        <v>2795</v>
      </c>
      <c r="N614" s="13" t="s">
        <v>2776</v>
      </c>
      <c r="O614" s="13" t="s">
        <v>2796</v>
      </c>
      <c r="P614" s="13" t="s">
        <v>2797</v>
      </c>
      <c r="Q614" s="13" t="s">
        <v>2798</v>
      </c>
      <c r="R614" s="13"/>
      <c r="S614" s="13"/>
      <c r="T614" s="13"/>
      <c r="U614" s="13"/>
    </row>
    <row r="615" spans="1:21" ht="15.75" customHeight="1" x14ac:dyDescent="0.2">
      <c r="A615" s="33" t="s">
        <v>1856</v>
      </c>
      <c r="B615" s="13" t="s">
        <v>1857</v>
      </c>
      <c r="C615" s="13"/>
      <c r="D615" s="13"/>
      <c r="E615" s="13"/>
      <c r="F615" s="13"/>
      <c r="G615" s="13"/>
      <c r="H615" s="13" t="s">
        <v>2281</v>
      </c>
      <c r="I615" s="13" t="s">
        <v>2282</v>
      </c>
      <c r="J615" s="13"/>
      <c r="K615" s="13"/>
      <c r="L615" s="20" t="s">
        <v>2774</v>
      </c>
      <c r="M615" s="13" t="s">
        <v>2795</v>
      </c>
      <c r="N615" s="13" t="s">
        <v>2776</v>
      </c>
      <c r="O615" s="13" t="s">
        <v>1990</v>
      </c>
      <c r="P615" s="13" t="s">
        <v>2797</v>
      </c>
      <c r="Q615" s="13" t="s">
        <v>2717</v>
      </c>
      <c r="R615" s="13"/>
      <c r="S615" s="13"/>
      <c r="T615" s="13"/>
      <c r="U615" s="13"/>
    </row>
    <row r="616" spans="1:21" ht="15.75" customHeight="1" x14ac:dyDescent="0.2">
      <c r="A616" s="33" t="s">
        <v>1858</v>
      </c>
      <c r="B616" s="13" t="s">
        <v>1859</v>
      </c>
      <c r="C616" s="13">
        <v>5</v>
      </c>
      <c r="D616" s="13" t="s">
        <v>2799</v>
      </c>
      <c r="E616" s="13"/>
      <c r="F616" s="13"/>
      <c r="G616" s="20"/>
      <c r="H616" s="20" t="s">
        <v>2800</v>
      </c>
      <c r="I616" s="13" t="s">
        <v>2801</v>
      </c>
      <c r="J616" s="20"/>
      <c r="K616" s="13" t="s">
        <v>2276</v>
      </c>
      <c r="L616" s="20" t="s">
        <v>2774</v>
      </c>
      <c r="M616" s="13" t="s">
        <v>2802</v>
      </c>
      <c r="N616" s="20"/>
      <c r="O616" s="13" t="s">
        <v>2802</v>
      </c>
      <c r="P616" s="13"/>
      <c r="Q616" s="13"/>
      <c r="R616" s="13"/>
      <c r="S616" s="13"/>
      <c r="T616" s="13"/>
      <c r="U616" s="13"/>
    </row>
    <row r="617" spans="1:21" ht="15.75" customHeight="1" x14ac:dyDescent="0.2">
      <c r="A617" s="33" t="s">
        <v>1860</v>
      </c>
      <c r="B617" s="13"/>
      <c r="C617" s="13"/>
      <c r="D617" s="13"/>
      <c r="E617" s="13"/>
      <c r="F617" s="13"/>
      <c r="G617" s="13" t="s">
        <v>2803</v>
      </c>
      <c r="H617" s="20"/>
      <c r="I617" s="13" t="s">
        <v>2803</v>
      </c>
      <c r="J617" s="13"/>
      <c r="K617" s="13"/>
      <c r="L617" s="13"/>
      <c r="M617" s="13"/>
      <c r="N617" s="13"/>
      <c r="O617" s="13"/>
      <c r="P617" s="13"/>
      <c r="Q617" s="13"/>
      <c r="R617" s="13"/>
      <c r="S617" s="13"/>
      <c r="T617" s="13"/>
      <c r="U617" s="13"/>
    </row>
    <row r="618" spans="1:21" ht="15.75" customHeight="1" x14ac:dyDescent="0.2">
      <c r="A618" s="35" t="s">
        <v>759</v>
      </c>
      <c r="B618" s="13"/>
      <c r="C618" s="13"/>
      <c r="D618" s="13"/>
      <c r="E618" s="13"/>
      <c r="F618" s="13"/>
      <c r="G618" s="13" t="s">
        <v>2748</v>
      </c>
      <c r="H618" s="13" t="s">
        <v>2737</v>
      </c>
      <c r="I618" s="13" t="s">
        <v>2804</v>
      </c>
      <c r="J618" s="13"/>
      <c r="K618" s="13"/>
      <c r="L618" s="13" t="s">
        <v>2804</v>
      </c>
      <c r="M618" s="13"/>
      <c r="N618" s="13"/>
      <c r="O618" s="13"/>
      <c r="P618" s="13"/>
      <c r="Q618" s="13"/>
      <c r="R618" s="13"/>
      <c r="S618" s="13"/>
      <c r="T618" s="13"/>
      <c r="U618" s="13"/>
    </row>
    <row r="619" spans="1:21" ht="15.75" customHeight="1" x14ac:dyDescent="0.2">
      <c r="A619" s="33" t="s">
        <v>1861</v>
      </c>
      <c r="B619" s="13"/>
      <c r="C619" s="13"/>
      <c r="D619" s="13"/>
      <c r="E619" s="13"/>
      <c r="F619" s="13"/>
      <c r="G619" s="13" t="s">
        <v>2280</v>
      </c>
      <c r="H619" s="13" t="s">
        <v>2805</v>
      </c>
      <c r="I619" s="13" t="s">
        <v>2806</v>
      </c>
      <c r="J619" s="13"/>
      <c r="K619" s="13"/>
      <c r="L619" s="13" t="s">
        <v>2806</v>
      </c>
      <c r="M619" s="13"/>
      <c r="N619" s="13"/>
      <c r="O619" s="13"/>
      <c r="P619" s="13"/>
      <c r="Q619" s="13"/>
      <c r="R619" s="13"/>
      <c r="S619" s="13"/>
      <c r="T619" s="13"/>
      <c r="U619" s="13"/>
    </row>
    <row r="620" spans="1:21" ht="15.75" customHeight="1" x14ac:dyDescent="0.2">
      <c r="A620" s="36" t="s">
        <v>1708</v>
      </c>
      <c r="B620" s="13" t="s">
        <v>1709</v>
      </c>
      <c r="C620" s="13">
        <v>1</v>
      </c>
      <c r="D620" s="13"/>
      <c r="E620" s="13" t="s">
        <v>2078</v>
      </c>
      <c r="F620" s="13"/>
      <c r="G620" s="13" t="s">
        <v>2464</v>
      </c>
      <c r="H620" s="20"/>
      <c r="I620" s="13" t="s">
        <v>2464</v>
      </c>
      <c r="J620" s="13"/>
      <c r="K620" s="20" t="s">
        <v>2469</v>
      </c>
      <c r="L620" s="13"/>
      <c r="M620" s="20" t="s">
        <v>2469</v>
      </c>
      <c r="N620" s="13"/>
      <c r="O620" s="13" t="s">
        <v>2412</v>
      </c>
      <c r="P620" s="13"/>
      <c r="Q620" s="13" t="s">
        <v>2412</v>
      </c>
      <c r="R620" s="13"/>
      <c r="S620" s="13" t="s">
        <v>2807</v>
      </c>
      <c r="T620" s="13"/>
      <c r="U620" s="13" t="s">
        <v>2807</v>
      </c>
    </row>
    <row r="621" spans="1:21" ht="15.75" customHeight="1" x14ac:dyDescent="0.2">
      <c r="A621" s="33" t="s">
        <v>1250</v>
      </c>
      <c r="B621" s="13" t="s">
        <v>1251</v>
      </c>
      <c r="C621" s="13">
        <v>1</v>
      </c>
      <c r="D621" s="13"/>
      <c r="E621" s="13"/>
      <c r="F621" s="13"/>
      <c r="G621" s="13" t="s">
        <v>2808</v>
      </c>
      <c r="H621" s="20"/>
      <c r="I621" s="20" t="s">
        <v>2809</v>
      </c>
      <c r="J621" s="13"/>
      <c r="K621" s="20" t="s">
        <v>2810</v>
      </c>
      <c r="L621" s="20"/>
      <c r="M621" s="13" t="s">
        <v>2316</v>
      </c>
      <c r="N621" s="13"/>
      <c r="O621" s="13"/>
      <c r="P621" s="13"/>
      <c r="Q621" s="13"/>
      <c r="R621" s="13"/>
      <c r="S621" s="13"/>
      <c r="T621" s="13"/>
      <c r="U621" s="13"/>
    </row>
    <row r="622" spans="1:21" ht="15.75" customHeight="1" x14ac:dyDescent="0.2">
      <c r="A622" s="33" t="s">
        <v>1853</v>
      </c>
      <c r="B622" s="13"/>
      <c r="C622" s="13">
        <v>1</v>
      </c>
      <c r="D622" s="13"/>
      <c r="E622" s="13"/>
      <c r="F622" s="13"/>
      <c r="G622" s="20"/>
      <c r="H622" s="20" t="s">
        <v>2800</v>
      </c>
      <c r="I622" s="13" t="s">
        <v>2811</v>
      </c>
      <c r="J622" s="13" t="s">
        <v>2812</v>
      </c>
      <c r="K622" s="13" t="s">
        <v>2316</v>
      </c>
      <c r="L622" s="13" t="s">
        <v>2812</v>
      </c>
      <c r="M622" s="13" t="s">
        <v>2316</v>
      </c>
      <c r="N622" s="13"/>
      <c r="O622" s="13"/>
      <c r="P622" s="13"/>
      <c r="Q622" s="13"/>
      <c r="R622" s="13"/>
      <c r="S622" s="13"/>
      <c r="T622" s="13"/>
      <c r="U622" s="13"/>
    </row>
    <row r="623" spans="1:21" ht="15.75" customHeight="1" x14ac:dyDescent="0.2">
      <c r="A623" s="20"/>
      <c r="B623" s="20"/>
      <c r="C623" s="20"/>
      <c r="D623" s="20"/>
      <c r="E623" s="20"/>
      <c r="F623" s="20"/>
      <c r="G623" s="20"/>
      <c r="H623" s="20"/>
      <c r="I623" s="20"/>
      <c r="J623" s="20"/>
      <c r="K623" s="20"/>
      <c r="L623" s="13"/>
      <c r="M623" s="13"/>
      <c r="N623" s="13"/>
      <c r="O623" s="13"/>
      <c r="P623" s="13"/>
      <c r="Q623" s="13"/>
      <c r="R623" s="13"/>
      <c r="S623" s="13"/>
      <c r="T623" s="13"/>
      <c r="U623" s="13"/>
    </row>
    <row r="624" spans="1:21" ht="15.75" customHeight="1" x14ac:dyDescent="0.2">
      <c r="A624" s="37"/>
      <c r="B624" s="37"/>
      <c r="C624" s="38"/>
      <c r="D624" s="38"/>
      <c r="E624" s="38"/>
      <c r="F624" s="38"/>
      <c r="G624" s="38"/>
      <c r="H624" s="37"/>
      <c r="I624" s="37"/>
      <c r="J624" s="37"/>
      <c r="K624" s="37"/>
      <c r="L624" s="37"/>
      <c r="M624" s="37"/>
      <c r="N624" s="37"/>
      <c r="O624" s="37"/>
      <c r="P624" s="37"/>
      <c r="Q624" s="37"/>
      <c r="R624" s="37"/>
      <c r="S624" s="37"/>
      <c r="T624" s="37"/>
      <c r="U624" s="37"/>
    </row>
    <row r="625" spans="1:21" ht="15.75" customHeight="1" x14ac:dyDescent="0.2">
      <c r="A625" s="37" t="s">
        <v>2813</v>
      </c>
      <c r="B625" s="37"/>
      <c r="C625" s="20"/>
      <c r="D625" s="20"/>
      <c r="E625" s="20"/>
      <c r="F625" s="20"/>
      <c r="G625" s="20"/>
      <c r="H625" s="37"/>
      <c r="I625" s="37"/>
      <c r="J625" s="37"/>
      <c r="K625" s="37"/>
      <c r="L625" s="37"/>
      <c r="M625" s="37"/>
      <c r="N625" s="37"/>
      <c r="O625" s="37"/>
      <c r="P625" s="37"/>
      <c r="Q625" s="37"/>
      <c r="R625" s="37"/>
      <c r="S625" s="37"/>
      <c r="T625" s="37"/>
      <c r="U625" s="37"/>
    </row>
    <row r="626" spans="1:21" ht="15.75" customHeight="1" x14ac:dyDescent="0.2">
      <c r="A626" s="37" t="s">
        <v>2814</v>
      </c>
      <c r="B626" s="37"/>
      <c r="C626" s="20"/>
      <c r="D626" s="20"/>
      <c r="E626" s="20"/>
      <c r="F626" s="20"/>
      <c r="G626" s="20"/>
      <c r="H626" s="37"/>
      <c r="I626" s="37"/>
      <c r="J626" s="37"/>
      <c r="K626" s="37"/>
      <c r="L626" s="37"/>
      <c r="M626" s="37"/>
      <c r="N626" s="37"/>
      <c r="O626" s="37"/>
      <c r="P626" s="37"/>
      <c r="Q626" s="37"/>
      <c r="R626" s="37"/>
      <c r="S626" s="37"/>
      <c r="T626" s="37"/>
      <c r="U626" s="37"/>
    </row>
    <row r="627" spans="1:21" ht="15.75" customHeight="1" x14ac:dyDescent="0.2">
      <c r="A627" s="37"/>
      <c r="B627" s="37"/>
      <c r="C627" s="20"/>
      <c r="D627" s="20"/>
      <c r="E627" s="20"/>
      <c r="F627" s="20"/>
      <c r="G627" s="20"/>
      <c r="H627" s="37"/>
      <c r="I627" s="37"/>
      <c r="J627" s="37"/>
      <c r="K627" s="37"/>
      <c r="L627" s="37"/>
      <c r="M627" s="37"/>
      <c r="N627" s="37"/>
      <c r="O627" s="37"/>
      <c r="P627" s="37"/>
      <c r="Q627" s="37"/>
      <c r="R627" s="37"/>
      <c r="S627" s="37"/>
      <c r="T627" s="37"/>
      <c r="U627" s="37"/>
    </row>
    <row r="628" spans="1:21" ht="15.75" customHeight="1" x14ac:dyDescent="0.2">
      <c r="A628" s="37"/>
      <c r="B628" s="37"/>
      <c r="C628" s="20"/>
      <c r="D628" s="20"/>
      <c r="E628" s="20"/>
      <c r="F628" s="20"/>
      <c r="G628" s="20"/>
      <c r="H628" s="37"/>
      <c r="I628" s="37"/>
      <c r="J628" s="37"/>
      <c r="K628" s="37"/>
      <c r="L628" s="37"/>
      <c r="M628" s="37"/>
      <c r="N628" s="37"/>
      <c r="O628" s="37"/>
      <c r="P628" s="37"/>
      <c r="Q628" s="37"/>
      <c r="R628" s="37"/>
      <c r="S628" s="37"/>
      <c r="T628" s="37"/>
      <c r="U628" s="37"/>
    </row>
    <row r="629" spans="1:21" ht="15.75" customHeight="1" x14ac:dyDescent="0.2">
      <c r="A629" s="37"/>
      <c r="B629" s="37"/>
      <c r="C629" s="20"/>
      <c r="D629" s="20"/>
      <c r="E629" s="20"/>
      <c r="F629" s="20"/>
      <c r="G629" s="20"/>
      <c r="H629" s="37"/>
      <c r="I629" s="37"/>
      <c r="J629" s="37"/>
      <c r="K629" s="37"/>
      <c r="L629" s="37"/>
      <c r="M629" s="37"/>
      <c r="N629" s="37"/>
      <c r="O629" s="37"/>
      <c r="P629" s="37"/>
      <c r="Q629" s="37"/>
      <c r="R629" s="37"/>
      <c r="S629" s="37"/>
      <c r="T629" s="37"/>
      <c r="U629" s="37"/>
    </row>
    <row r="630" spans="1:21" ht="15.75" customHeight="1" x14ac:dyDescent="0.2">
      <c r="A630" s="37"/>
      <c r="B630" s="37"/>
      <c r="C630" s="20"/>
      <c r="D630" s="20"/>
      <c r="E630" s="20"/>
      <c r="F630" s="20"/>
      <c r="G630" s="20"/>
      <c r="H630" s="37"/>
      <c r="I630" s="37"/>
      <c r="J630" s="37"/>
      <c r="K630" s="37"/>
      <c r="L630" s="37"/>
      <c r="M630" s="37"/>
      <c r="N630" s="37"/>
      <c r="O630" s="37"/>
      <c r="P630" s="37"/>
      <c r="Q630" s="37"/>
      <c r="R630" s="37"/>
      <c r="S630" s="37"/>
      <c r="T630" s="37"/>
      <c r="U630" s="37"/>
    </row>
    <row r="631" spans="1:21" ht="15.75" customHeight="1" x14ac:dyDescent="0.2">
      <c r="A631" s="37"/>
      <c r="B631" s="37"/>
      <c r="C631" s="20"/>
      <c r="D631" s="20"/>
      <c r="E631" s="20"/>
      <c r="F631" s="20"/>
      <c r="G631" s="20"/>
      <c r="H631" s="37"/>
      <c r="I631" s="37"/>
      <c r="J631" s="37"/>
      <c r="K631" s="37"/>
      <c r="L631" s="37"/>
      <c r="M631" s="37"/>
      <c r="N631" s="37"/>
      <c r="O631" s="37"/>
      <c r="P631" s="37"/>
      <c r="Q631" s="37"/>
      <c r="R631" s="37"/>
      <c r="S631" s="37"/>
      <c r="T631" s="37"/>
      <c r="U631" s="37"/>
    </row>
    <row r="632" spans="1:21" ht="15.75" customHeight="1" x14ac:dyDescent="0.2">
      <c r="A632" s="37"/>
      <c r="B632" s="37"/>
      <c r="C632" s="20"/>
      <c r="D632" s="20"/>
      <c r="E632" s="20"/>
      <c r="F632" s="20"/>
      <c r="G632" s="20"/>
      <c r="H632" s="37"/>
      <c r="I632" s="37"/>
      <c r="J632" s="37"/>
      <c r="K632" s="37"/>
      <c r="L632" s="37"/>
      <c r="M632" s="37"/>
      <c r="N632" s="37"/>
      <c r="O632" s="37"/>
      <c r="P632" s="37"/>
      <c r="Q632" s="37"/>
      <c r="R632" s="37"/>
      <c r="S632" s="37"/>
      <c r="T632" s="37"/>
      <c r="U632" s="37"/>
    </row>
    <row r="633" spans="1:21" ht="15.75" customHeight="1" x14ac:dyDescent="0.2">
      <c r="A633" s="37"/>
      <c r="B633" s="37"/>
      <c r="C633" s="20"/>
      <c r="D633" s="20"/>
      <c r="E633" s="20"/>
      <c r="F633" s="20"/>
      <c r="G633" s="20"/>
      <c r="H633" s="37"/>
      <c r="I633" s="37"/>
      <c r="J633" s="37"/>
      <c r="K633" s="37"/>
      <c r="L633" s="37"/>
      <c r="M633" s="37"/>
      <c r="N633" s="37"/>
      <c r="O633" s="37"/>
      <c r="P633" s="37"/>
      <c r="Q633" s="37"/>
      <c r="R633" s="37"/>
      <c r="S633" s="37"/>
      <c r="T633" s="37"/>
      <c r="U633" s="37"/>
    </row>
    <row r="634" spans="1:21" ht="15.75" customHeight="1" x14ac:dyDescent="0.2">
      <c r="A634" s="37"/>
      <c r="B634" s="37"/>
      <c r="C634" s="20"/>
      <c r="D634" s="20"/>
      <c r="E634" s="20"/>
      <c r="F634" s="20"/>
      <c r="G634" s="20"/>
      <c r="H634" s="37"/>
      <c r="I634" s="37"/>
      <c r="J634" s="37"/>
      <c r="K634" s="37"/>
      <c r="L634" s="37"/>
      <c r="M634" s="37"/>
      <c r="N634" s="37"/>
      <c r="O634" s="37"/>
      <c r="P634" s="37"/>
      <c r="Q634" s="37"/>
      <c r="R634" s="37"/>
      <c r="S634" s="37"/>
      <c r="T634" s="37"/>
      <c r="U634" s="37"/>
    </row>
    <row r="635" spans="1:21" ht="15.75" customHeight="1" x14ac:dyDescent="0.2">
      <c r="A635" s="37"/>
      <c r="B635" s="37"/>
      <c r="C635" s="20"/>
      <c r="D635" s="20"/>
      <c r="E635" s="20"/>
      <c r="F635" s="20"/>
      <c r="G635" s="20"/>
      <c r="H635" s="37"/>
      <c r="I635" s="37"/>
      <c r="J635" s="37"/>
      <c r="K635" s="37"/>
      <c r="L635" s="37"/>
      <c r="M635" s="37"/>
      <c r="N635" s="37"/>
      <c r="O635" s="37"/>
      <c r="P635" s="37"/>
      <c r="Q635" s="37"/>
      <c r="R635" s="37"/>
      <c r="S635" s="37"/>
      <c r="T635" s="37"/>
      <c r="U635" s="37"/>
    </row>
    <row r="636" spans="1:21" ht="15.75" customHeight="1" x14ac:dyDescent="0.2">
      <c r="A636" s="37"/>
      <c r="B636" s="37"/>
      <c r="C636" s="20"/>
      <c r="D636" s="20"/>
      <c r="E636" s="20"/>
      <c r="F636" s="20"/>
      <c r="G636" s="20"/>
      <c r="H636" s="37"/>
      <c r="I636" s="37"/>
      <c r="J636" s="37"/>
      <c r="K636" s="37"/>
      <c r="L636" s="37"/>
      <c r="M636" s="37"/>
      <c r="N636" s="37"/>
      <c r="O636" s="37"/>
      <c r="P636" s="37"/>
      <c r="Q636" s="37"/>
      <c r="R636" s="37"/>
      <c r="S636" s="37"/>
      <c r="T636" s="37"/>
      <c r="U636" s="37"/>
    </row>
    <row r="637" spans="1:21" ht="15.75" customHeight="1" x14ac:dyDescent="0.2">
      <c r="A637" s="37"/>
      <c r="B637" s="37"/>
      <c r="C637" s="20"/>
      <c r="D637" s="20"/>
      <c r="E637" s="20"/>
      <c r="F637" s="20"/>
      <c r="G637" s="20"/>
      <c r="H637" s="37"/>
      <c r="I637" s="37"/>
      <c r="J637" s="37"/>
      <c r="K637" s="37"/>
      <c r="L637" s="37"/>
      <c r="M637" s="37"/>
      <c r="N637" s="37"/>
      <c r="O637" s="37"/>
      <c r="P637" s="37"/>
      <c r="Q637" s="37"/>
      <c r="R637" s="37"/>
      <c r="S637" s="37"/>
      <c r="T637" s="37"/>
      <c r="U637" s="37"/>
    </row>
    <row r="638" spans="1:21" ht="15.75" customHeight="1" x14ac:dyDescent="0.2">
      <c r="A638" s="37"/>
      <c r="B638" s="37"/>
      <c r="C638" s="20"/>
      <c r="D638" s="20"/>
      <c r="E638" s="20"/>
      <c r="F638" s="20"/>
      <c r="G638" s="20"/>
      <c r="H638" s="37"/>
      <c r="I638" s="37"/>
      <c r="J638" s="37"/>
      <c r="K638" s="37"/>
      <c r="L638" s="37"/>
      <c r="M638" s="37"/>
      <c r="N638" s="37"/>
      <c r="O638" s="37"/>
      <c r="P638" s="37"/>
      <c r="Q638" s="37"/>
      <c r="R638" s="37"/>
      <c r="S638" s="37"/>
      <c r="T638" s="37"/>
      <c r="U638" s="37"/>
    </row>
    <row r="639" spans="1:21" ht="15.75" customHeight="1" x14ac:dyDescent="0.2">
      <c r="A639" s="37"/>
      <c r="B639" s="37"/>
      <c r="C639" s="20"/>
      <c r="D639" s="20"/>
      <c r="E639" s="20"/>
      <c r="F639" s="20"/>
      <c r="G639" s="20"/>
      <c r="H639" s="37"/>
      <c r="I639" s="37"/>
      <c r="J639" s="37"/>
      <c r="K639" s="37"/>
      <c r="L639" s="37"/>
      <c r="M639" s="37"/>
      <c r="N639" s="37"/>
      <c r="O639" s="37"/>
      <c r="P639" s="37"/>
      <c r="Q639" s="37"/>
      <c r="R639" s="37"/>
      <c r="S639" s="37"/>
      <c r="T639" s="37"/>
      <c r="U639" s="37"/>
    </row>
    <row r="640" spans="1:21" ht="15.75" customHeight="1" x14ac:dyDescent="0.2">
      <c r="A640" s="37"/>
      <c r="B640" s="37"/>
      <c r="C640" s="20"/>
      <c r="D640" s="20"/>
      <c r="E640" s="20"/>
      <c r="F640" s="20"/>
      <c r="G640" s="20"/>
      <c r="H640" s="37"/>
      <c r="I640" s="37"/>
      <c r="J640" s="37"/>
      <c r="K640" s="37"/>
      <c r="L640" s="37"/>
      <c r="M640" s="37"/>
      <c r="N640" s="37"/>
      <c r="O640" s="37"/>
      <c r="P640" s="37"/>
      <c r="Q640" s="37"/>
      <c r="R640" s="37"/>
      <c r="S640" s="37"/>
      <c r="T640" s="37"/>
      <c r="U640" s="37"/>
    </row>
    <row r="641" spans="1:21" ht="15.75" customHeight="1" x14ac:dyDescent="0.2">
      <c r="A641" s="37"/>
      <c r="B641" s="37"/>
      <c r="C641" s="20"/>
      <c r="D641" s="20"/>
      <c r="E641" s="20"/>
      <c r="F641" s="20"/>
      <c r="G641" s="20"/>
      <c r="H641" s="37"/>
      <c r="I641" s="37"/>
      <c r="J641" s="37"/>
      <c r="K641" s="37"/>
      <c r="L641" s="37"/>
      <c r="M641" s="37"/>
      <c r="N641" s="37"/>
      <c r="O641" s="37"/>
      <c r="P641" s="37"/>
      <c r="Q641" s="37"/>
      <c r="R641" s="37"/>
      <c r="S641" s="37"/>
      <c r="T641" s="37"/>
      <c r="U641" s="37"/>
    </row>
    <row r="642" spans="1:21" ht="15.75" customHeight="1" x14ac:dyDescent="0.2">
      <c r="A642" s="37"/>
      <c r="B642" s="37"/>
      <c r="C642" s="20"/>
      <c r="D642" s="20"/>
      <c r="E642" s="20"/>
      <c r="F642" s="20"/>
      <c r="G642" s="20"/>
      <c r="H642" s="37"/>
      <c r="I642" s="37"/>
      <c r="J642" s="37"/>
      <c r="K642" s="37"/>
      <c r="L642" s="37"/>
      <c r="M642" s="37"/>
      <c r="N642" s="37"/>
      <c r="O642" s="37"/>
      <c r="P642" s="37"/>
      <c r="Q642" s="37"/>
      <c r="R642" s="37"/>
      <c r="S642" s="37"/>
      <c r="T642" s="37"/>
      <c r="U642" s="37"/>
    </row>
    <row r="643" spans="1:21" ht="15.75" customHeight="1" x14ac:dyDescent="0.2">
      <c r="A643" s="37"/>
      <c r="B643" s="37"/>
      <c r="C643" s="20"/>
      <c r="D643" s="20"/>
      <c r="E643" s="20"/>
      <c r="F643" s="20"/>
      <c r="G643" s="20"/>
      <c r="H643" s="37"/>
      <c r="I643" s="37"/>
      <c r="J643" s="37"/>
      <c r="K643" s="37"/>
      <c r="L643" s="37"/>
      <c r="M643" s="37"/>
      <c r="N643" s="37"/>
      <c r="O643" s="37"/>
      <c r="P643" s="37"/>
      <c r="Q643" s="37"/>
      <c r="R643" s="37"/>
      <c r="S643" s="37"/>
      <c r="T643" s="37"/>
      <c r="U643" s="37"/>
    </row>
    <row r="644" spans="1:21" ht="15.75" customHeight="1" x14ac:dyDescent="0.2">
      <c r="A644" s="37"/>
      <c r="B644" s="37"/>
      <c r="C644" s="20"/>
      <c r="D644" s="20"/>
      <c r="E644" s="20"/>
      <c r="F644" s="20"/>
      <c r="G644" s="20"/>
      <c r="H644" s="37"/>
      <c r="I644" s="37"/>
      <c r="J644" s="37"/>
      <c r="K644" s="37"/>
      <c r="L644" s="37"/>
      <c r="M644" s="37"/>
      <c r="N644" s="37"/>
      <c r="O644" s="37"/>
      <c r="P644" s="37"/>
      <c r="Q644" s="37"/>
      <c r="R644" s="37"/>
      <c r="S644" s="37"/>
      <c r="T644" s="37"/>
      <c r="U644" s="37"/>
    </row>
    <row r="645" spans="1:21" ht="15.75" customHeight="1" x14ac:dyDescent="0.2">
      <c r="A645" s="37"/>
      <c r="B645" s="37"/>
      <c r="C645" s="20"/>
      <c r="D645" s="20"/>
      <c r="E645" s="20"/>
      <c r="F645" s="20"/>
      <c r="G645" s="20"/>
      <c r="H645" s="37"/>
      <c r="I645" s="37"/>
      <c r="J645" s="37"/>
      <c r="K645" s="37"/>
      <c r="L645" s="37"/>
      <c r="M645" s="37"/>
      <c r="N645" s="37"/>
      <c r="O645" s="37"/>
      <c r="P645" s="37"/>
      <c r="Q645" s="37"/>
      <c r="R645" s="37"/>
      <c r="S645" s="37"/>
      <c r="T645" s="37"/>
      <c r="U645" s="37"/>
    </row>
    <row r="646" spans="1:21" ht="15.75" customHeight="1" x14ac:dyDescent="0.2">
      <c r="A646" s="37"/>
      <c r="B646" s="37"/>
      <c r="C646" s="20"/>
      <c r="D646" s="20"/>
      <c r="E646" s="20"/>
      <c r="F646" s="20"/>
      <c r="G646" s="20"/>
      <c r="H646" s="37"/>
      <c r="I646" s="37"/>
      <c r="J646" s="37"/>
      <c r="K646" s="37"/>
      <c r="L646" s="37"/>
      <c r="M646" s="37"/>
      <c r="N646" s="37"/>
      <c r="O646" s="37"/>
      <c r="P646" s="37"/>
      <c r="Q646" s="37"/>
      <c r="R646" s="37"/>
      <c r="S646" s="37"/>
      <c r="T646" s="37"/>
      <c r="U646" s="37"/>
    </row>
    <row r="647" spans="1:21" ht="15.75" customHeight="1" x14ac:dyDescent="0.2">
      <c r="A647" s="37"/>
      <c r="B647" s="37"/>
      <c r="C647" s="20"/>
      <c r="D647" s="20"/>
      <c r="E647" s="20"/>
      <c r="F647" s="20"/>
      <c r="G647" s="20"/>
      <c r="H647" s="37"/>
      <c r="I647" s="37"/>
      <c r="J647" s="37"/>
      <c r="K647" s="37"/>
      <c r="L647" s="37"/>
      <c r="M647" s="37"/>
      <c r="N647" s="37"/>
      <c r="O647" s="37"/>
      <c r="P647" s="37"/>
      <c r="Q647" s="37"/>
      <c r="R647" s="37"/>
      <c r="S647" s="37"/>
      <c r="T647" s="37"/>
      <c r="U647" s="37"/>
    </row>
    <row r="648" spans="1:21" ht="15.75" customHeight="1" x14ac:dyDescent="0.2">
      <c r="A648" s="37"/>
      <c r="B648" s="37"/>
      <c r="C648" s="20"/>
      <c r="D648" s="20"/>
      <c r="E648" s="20"/>
      <c r="F648" s="20"/>
      <c r="G648" s="20"/>
      <c r="H648" s="37"/>
      <c r="I648" s="37"/>
      <c r="J648" s="37"/>
      <c r="K648" s="37"/>
      <c r="L648" s="37"/>
      <c r="M648" s="37"/>
      <c r="N648" s="37"/>
      <c r="O648" s="37"/>
      <c r="P648" s="37"/>
      <c r="Q648" s="37"/>
      <c r="R648" s="37"/>
      <c r="S648" s="37"/>
      <c r="T648" s="37"/>
      <c r="U648" s="37"/>
    </row>
    <row r="649" spans="1:21" ht="15.75" customHeight="1" x14ac:dyDescent="0.2">
      <c r="A649" s="37"/>
      <c r="B649" s="37"/>
      <c r="C649" s="20"/>
      <c r="D649" s="20"/>
      <c r="E649" s="20"/>
      <c r="F649" s="20"/>
      <c r="G649" s="20"/>
      <c r="H649" s="37"/>
      <c r="I649" s="37"/>
      <c r="J649" s="37"/>
      <c r="K649" s="37"/>
      <c r="L649" s="37"/>
      <c r="M649" s="37"/>
      <c r="N649" s="37"/>
      <c r="O649" s="37"/>
      <c r="P649" s="37"/>
      <c r="Q649" s="37"/>
      <c r="R649" s="37"/>
      <c r="S649" s="37"/>
      <c r="T649" s="37"/>
      <c r="U649" s="37"/>
    </row>
    <row r="650" spans="1:21" ht="15.75" customHeight="1" x14ac:dyDescent="0.2">
      <c r="A650" s="37"/>
      <c r="B650" s="37"/>
      <c r="C650" s="20"/>
      <c r="D650" s="20"/>
      <c r="E650" s="20"/>
      <c r="F650" s="20"/>
      <c r="G650" s="20"/>
      <c r="H650" s="37"/>
      <c r="I650" s="37"/>
      <c r="J650" s="37"/>
      <c r="K650" s="37"/>
      <c r="L650" s="37"/>
      <c r="M650" s="37"/>
      <c r="N650" s="37"/>
      <c r="O650" s="37"/>
      <c r="P650" s="37"/>
      <c r="Q650" s="37"/>
      <c r="R650" s="37"/>
      <c r="S650" s="37"/>
      <c r="T650" s="37"/>
      <c r="U650" s="37"/>
    </row>
    <row r="651" spans="1:21" ht="15.75" customHeight="1" x14ac:dyDescent="0.2">
      <c r="A651" s="37"/>
      <c r="B651" s="37"/>
      <c r="C651" s="20"/>
      <c r="D651" s="20"/>
      <c r="E651" s="20"/>
      <c r="F651" s="20"/>
      <c r="G651" s="20"/>
      <c r="H651" s="37"/>
      <c r="I651" s="37"/>
      <c r="J651" s="37"/>
      <c r="K651" s="37"/>
      <c r="L651" s="37"/>
      <c r="M651" s="37"/>
      <c r="N651" s="37"/>
      <c r="O651" s="37"/>
      <c r="P651" s="37"/>
      <c r="Q651" s="37"/>
      <c r="R651" s="37"/>
      <c r="S651" s="37"/>
      <c r="T651" s="37"/>
      <c r="U651" s="37"/>
    </row>
    <row r="652" spans="1:21" ht="15.75" customHeight="1" x14ac:dyDescent="0.2">
      <c r="A652" s="37"/>
      <c r="B652" s="37"/>
      <c r="C652" s="20"/>
      <c r="D652" s="20"/>
      <c r="E652" s="20"/>
      <c r="F652" s="20"/>
      <c r="G652" s="20"/>
      <c r="H652" s="37"/>
      <c r="I652" s="37"/>
      <c r="J652" s="37"/>
      <c r="K652" s="37"/>
      <c r="L652" s="37"/>
      <c r="M652" s="37"/>
      <c r="N652" s="37"/>
      <c r="O652" s="37"/>
      <c r="P652" s="37"/>
      <c r="Q652" s="37"/>
      <c r="R652" s="37"/>
      <c r="S652" s="37"/>
      <c r="T652" s="37"/>
      <c r="U652" s="37"/>
    </row>
    <row r="653" spans="1:21" ht="15.75" customHeight="1" x14ac:dyDescent="0.2">
      <c r="A653" s="37"/>
      <c r="B653" s="37"/>
      <c r="C653" s="20"/>
      <c r="D653" s="20"/>
      <c r="E653" s="20"/>
      <c r="F653" s="20"/>
      <c r="G653" s="20"/>
      <c r="H653" s="37"/>
      <c r="I653" s="37"/>
      <c r="J653" s="37"/>
      <c r="K653" s="37"/>
      <c r="L653" s="37"/>
      <c r="M653" s="37"/>
      <c r="N653" s="37"/>
      <c r="O653" s="37"/>
      <c r="P653" s="37"/>
      <c r="Q653" s="37"/>
      <c r="R653" s="37"/>
      <c r="S653" s="37"/>
      <c r="T653" s="37"/>
      <c r="U653" s="37"/>
    </row>
    <row r="654" spans="1:21" ht="15.75" customHeight="1" x14ac:dyDescent="0.2">
      <c r="A654" s="37"/>
      <c r="B654" s="37"/>
      <c r="C654" s="20"/>
      <c r="D654" s="20"/>
      <c r="E654" s="20"/>
      <c r="F654" s="20"/>
      <c r="G654" s="20"/>
      <c r="H654" s="37"/>
      <c r="I654" s="37"/>
      <c r="J654" s="37"/>
      <c r="K654" s="37"/>
      <c r="L654" s="37"/>
      <c r="M654" s="37"/>
      <c r="N654" s="37"/>
      <c r="O654" s="37"/>
      <c r="P654" s="37"/>
      <c r="Q654" s="37"/>
      <c r="R654" s="37"/>
      <c r="S654" s="37"/>
      <c r="T654" s="37"/>
      <c r="U654" s="37"/>
    </row>
    <row r="655" spans="1:21" ht="15.75" customHeight="1" x14ac:dyDescent="0.2">
      <c r="A655" s="37"/>
      <c r="B655" s="37"/>
      <c r="C655" s="20"/>
      <c r="D655" s="20"/>
      <c r="E655" s="20"/>
      <c r="F655" s="20"/>
      <c r="G655" s="20"/>
      <c r="H655" s="37"/>
      <c r="I655" s="37"/>
      <c r="J655" s="37"/>
      <c r="K655" s="37"/>
      <c r="L655" s="37"/>
      <c r="M655" s="37"/>
      <c r="N655" s="37"/>
      <c r="O655" s="37"/>
      <c r="P655" s="37"/>
      <c r="Q655" s="37"/>
      <c r="R655" s="37"/>
      <c r="S655" s="37"/>
      <c r="T655" s="37"/>
      <c r="U655" s="37"/>
    </row>
    <row r="656" spans="1:21" ht="15.75" customHeight="1" x14ac:dyDescent="0.2">
      <c r="A656" s="37"/>
      <c r="B656" s="37"/>
      <c r="C656" s="20"/>
      <c r="D656" s="20"/>
      <c r="E656" s="20"/>
      <c r="F656" s="20"/>
      <c r="G656" s="20"/>
      <c r="H656" s="37"/>
      <c r="I656" s="37"/>
      <c r="J656" s="37"/>
      <c r="K656" s="37"/>
      <c r="L656" s="37"/>
      <c r="M656" s="37"/>
      <c r="N656" s="37"/>
      <c r="O656" s="37"/>
      <c r="P656" s="37"/>
      <c r="Q656" s="37"/>
      <c r="R656" s="37"/>
      <c r="S656" s="37"/>
      <c r="T656" s="37"/>
      <c r="U656" s="37"/>
    </row>
    <row r="657" spans="1:21" ht="15.75" customHeight="1" x14ac:dyDescent="0.2">
      <c r="A657" s="37"/>
      <c r="B657" s="37"/>
      <c r="C657" s="20"/>
      <c r="D657" s="20"/>
      <c r="E657" s="20"/>
      <c r="F657" s="20"/>
      <c r="G657" s="20"/>
      <c r="H657" s="37"/>
      <c r="I657" s="37"/>
      <c r="J657" s="37"/>
      <c r="K657" s="37"/>
      <c r="L657" s="37"/>
      <c r="M657" s="37"/>
      <c r="N657" s="37"/>
      <c r="O657" s="37"/>
      <c r="P657" s="37"/>
      <c r="Q657" s="37"/>
      <c r="R657" s="37"/>
      <c r="S657" s="37"/>
      <c r="T657" s="37"/>
      <c r="U657" s="37"/>
    </row>
    <row r="658" spans="1:21" ht="15.75" customHeight="1" x14ac:dyDescent="0.2">
      <c r="A658" s="37"/>
      <c r="B658" s="37"/>
      <c r="C658" s="20"/>
      <c r="D658" s="20"/>
      <c r="E658" s="20"/>
      <c r="F658" s="20"/>
      <c r="G658" s="20"/>
      <c r="H658" s="37"/>
      <c r="I658" s="37"/>
      <c r="J658" s="37"/>
      <c r="K658" s="37"/>
      <c r="L658" s="37"/>
      <c r="M658" s="37"/>
      <c r="N658" s="37"/>
      <c r="O658" s="37"/>
      <c r="P658" s="37"/>
      <c r="Q658" s="37"/>
      <c r="R658" s="37"/>
      <c r="S658" s="37"/>
      <c r="T658" s="37"/>
      <c r="U658" s="37"/>
    </row>
    <row r="659" spans="1:21" ht="15.75" customHeight="1" x14ac:dyDescent="0.2">
      <c r="A659" s="37"/>
      <c r="B659" s="37"/>
      <c r="C659" s="20"/>
      <c r="D659" s="20"/>
      <c r="E659" s="20"/>
      <c r="F659" s="20"/>
      <c r="G659" s="20"/>
      <c r="H659" s="37"/>
      <c r="I659" s="37"/>
      <c r="J659" s="37"/>
      <c r="K659" s="37"/>
      <c r="L659" s="37"/>
      <c r="M659" s="37"/>
      <c r="N659" s="37"/>
      <c r="O659" s="37"/>
      <c r="P659" s="37"/>
      <c r="Q659" s="37"/>
      <c r="R659" s="37"/>
      <c r="S659" s="37"/>
      <c r="T659" s="37"/>
      <c r="U659" s="37"/>
    </row>
    <row r="660" spans="1:21" ht="15.75" customHeight="1" x14ac:dyDescent="0.2">
      <c r="A660" s="37"/>
      <c r="B660" s="37"/>
      <c r="C660" s="20"/>
      <c r="D660" s="20"/>
      <c r="E660" s="20"/>
      <c r="F660" s="20"/>
      <c r="G660" s="20"/>
      <c r="H660" s="37"/>
      <c r="I660" s="37"/>
      <c r="J660" s="37"/>
      <c r="K660" s="37"/>
      <c r="L660" s="37"/>
      <c r="M660" s="37"/>
      <c r="N660" s="37"/>
      <c r="O660" s="37"/>
      <c r="P660" s="37"/>
      <c r="Q660" s="37"/>
      <c r="R660" s="37"/>
      <c r="S660" s="37"/>
      <c r="T660" s="37"/>
      <c r="U660" s="37"/>
    </row>
    <row r="661" spans="1:21" ht="15.75" customHeight="1" x14ac:dyDescent="0.2">
      <c r="A661" s="37"/>
      <c r="B661" s="37"/>
      <c r="C661" s="20"/>
      <c r="D661" s="20"/>
      <c r="E661" s="20"/>
      <c r="F661" s="20"/>
      <c r="G661" s="20"/>
      <c r="H661" s="37"/>
      <c r="I661" s="37"/>
      <c r="J661" s="37"/>
      <c r="K661" s="37"/>
      <c r="L661" s="37"/>
      <c r="M661" s="37"/>
      <c r="N661" s="37"/>
      <c r="O661" s="37"/>
      <c r="P661" s="37"/>
      <c r="Q661" s="37"/>
      <c r="R661" s="37"/>
      <c r="S661" s="37"/>
      <c r="T661" s="37"/>
      <c r="U661" s="37"/>
    </row>
    <row r="662" spans="1:21" ht="15.75" customHeight="1" x14ac:dyDescent="0.2">
      <c r="A662" s="37"/>
      <c r="B662" s="37"/>
      <c r="C662" s="20"/>
      <c r="D662" s="20"/>
      <c r="E662" s="20"/>
      <c r="F662" s="20"/>
      <c r="G662" s="20"/>
      <c r="H662" s="37"/>
      <c r="I662" s="37"/>
      <c r="J662" s="37"/>
      <c r="K662" s="37"/>
      <c r="L662" s="37"/>
      <c r="M662" s="37"/>
      <c r="N662" s="37"/>
      <c r="O662" s="37"/>
      <c r="P662" s="37"/>
      <c r="Q662" s="37"/>
      <c r="R662" s="37"/>
      <c r="S662" s="37"/>
      <c r="T662" s="37"/>
      <c r="U662" s="37"/>
    </row>
    <row r="663" spans="1:21" ht="15.75" customHeight="1" x14ac:dyDescent="0.2">
      <c r="A663" s="37"/>
      <c r="B663" s="37"/>
      <c r="C663" s="20"/>
      <c r="D663" s="20"/>
      <c r="E663" s="20"/>
      <c r="F663" s="20"/>
      <c r="G663" s="20"/>
      <c r="H663" s="37"/>
      <c r="I663" s="37"/>
      <c r="J663" s="37"/>
      <c r="K663" s="37"/>
      <c r="L663" s="37"/>
      <c r="M663" s="37"/>
      <c r="N663" s="37"/>
      <c r="O663" s="37"/>
      <c r="P663" s="37"/>
      <c r="Q663" s="37"/>
      <c r="R663" s="37"/>
      <c r="S663" s="37"/>
      <c r="T663" s="37"/>
      <c r="U663" s="37"/>
    </row>
    <row r="664" spans="1:21" ht="15.75" customHeight="1" x14ac:dyDescent="0.2">
      <c r="A664" s="37"/>
      <c r="B664" s="37"/>
      <c r="C664" s="20"/>
      <c r="D664" s="20"/>
      <c r="E664" s="20"/>
      <c r="F664" s="20"/>
      <c r="G664" s="20"/>
      <c r="H664" s="37"/>
      <c r="I664" s="37"/>
      <c r="J664" s="37"/>
      <c r="K664" s="37"/>
      <c r="L664" s="37"/>
      <c r="M664" s="37"/>
      <c r="N664" s="37"/>
      <c r="O664" s="37"/>
      <c r="P664" s="37"/>
      <c r="Q664" s="37"/>
      <c r="R664" s="37"/>
      <c r="S664" s="37"/>
      <c r="T664" s="37"/>
      <c r="U664" s="37"/>
    </row>
    <row r="665" spans="1:21" ht="15.75" customHeight="1" x14ac:dyDescent="0.2">
      <c r="A665" s="37"/>
      <c r="B665" s="37"/>
      <c r="C665" s="20"/>
      <c r="D665" s="20"/>
      <c r="E665" s="20"/>
      <c r="F665" s="20"/>
      <c r="G665" s="20"/>
      <c r="H665" s="37"/>
      <c r="I665" s="37"/>
      <c r="J665" s="37"/>
      <c r="K665" s="37"/>
      <c r="L665" s="37"/>
      <c r="M665" s="37"/>
      <c r="N665" s="37"/>
      <c r="O665" s="37"/>
      <c r="P665" s="37"/>
      <c r="Q665" s="37"/>
      <c r="R665" s="37"/>
      <c r="S665" s="37"/>
      <c r="T665" s="37"/>
      <c r="U665" s="37"/>
    </row>
    <row r="666" spans="1:21" ht="15.75" customHeight="1" x14ac:dyDescent="0.2">
      <c r="A666" s="37"/>
      <c r="B666" s="37"/>
      <c r="C666" s="20"/>
      <c r="D666" s="20"/>
      <c r="E666" s="20"/>
      <c r="F666" s="20"/>
      <c r="G666" s="20"/>
      <c r="H666" s="37"/>
      <c r="I666" s="37"/>
      <c r="J666" s="37"/>
      <c r="K666" s="37"/>
      <c r="L666" s="37"/>
      <c r="M666" s="37"/>
      <c r="N666" s="37"/>
      <c r="O666" s="37"/>
      <c r="P666" s="37"/>
      <c r="Q666" s="37"/>
      <c r="R666" s="37"/>
      <c r="S666" s="37"/>
      <c r="T666" s="37"/>
      <c r="U666" s="37"/>
    </row>
    <row r="667" spans="1:21" ht="15.75" customHeight="1" x14ac:dyDescent="0.2">
      <c r="A667" s="37"/>
      <c r="B667" s="37"/>
      <c r="C667" s="20"/>
      <c r="D667" s="20"/>
      <c r="E667" s="20"/>
      <c r="F667" s="20"/>
      <c r="G667" s="20"/>
      <c r="H667" s="37"/>
      <c r="I667" s="37"/>
      <c r="J667" s="37"/>
      <c r="K667" s="37"/>
      <c r="L667" s="37"/>
      <c r="M667" s="37"/>
      <c r="N667" s="37"/>
      <c r="O667" s="37"/>
      <c r="P667" s="37"/>
      <c r="Q667" s="37"/>
      <c r="R667" s="37"/>
      <c r="S667" s="37"/>
      <c r="T667" s="37"/>
      <c r="U667" s="37"/>
    </row>
    <row r="668" spans="1:21" ht="15.75" customHeight="1" x14ac:dyDescent="0.2">
      <c r="A668" s="37"/>
      <c r="B668" s="37"/>
      <c r="C668" s="20"/>
      <c r="D668" s="20"/>
      <c r="E668" s="20"/>
      <c r="F668" s="20"/>
      <c r="G668" s="20"/>
      <c r="H668" s="37"/>
      <c r="I668" s="37"/>
      <c r="J668" s="37"/>
      <c r="K668" s="37"/>
      <c r="L668" s="37"/>
      <c r="M668" s="37"/>
      <c r="N668" s="37"/>
      <c r="O668" s="37"/>
      <c r="P668" s="37"/>
      <c r="Q668" s="37"/>
      <c r="R668" s="37"/>
      <c r="S668" s="37"/>
      <c r="T668" s="37"/>
      <c r="U668" s="37"/>
    </row>
    <row r="669" spans="1:21" ht="15.75" customHeight="1" x14ac:dyDescent="0.2">
      <c r="A669" s="37"/>
      <c r="B669" s="37"/>
      <c r="C669" s="20"/>
      <c r="D669" s="20"/>
      <c r="E669" s="20"/>
      <c r="F669" s="20"/>
      <c r="G669" s="20"/>
      <c r="H669" s="37"/>
      <c r="I669" s="37"/>
      <c r="J669" s="37"/>
      <c r="K669" s="37"/>
      <c r="L669" s="37"/>
      <c r="M669" s="37"/>
      <c r="N669" s="37"/>
      <c r="O669" s="37"/>
      <c r="P669" s="37"/>
      <c r="Q669" s="37"/>
      <c r="R669" s="37"/>
      <c r="S669" s="37"/>
      <c r="T669" s="37"/>
      <c r="U669" s="37"/>
    </row>
    <row r="670" spans="1:21" ht="15.75" customHeight="1" x14ac:dyDescent="0.2">
      <c r="A670" s="37"/>
      <c r="B670" s="37"/>
      <c r="C670" s="20"/>
      <c r="D670" s="20"/>
      <c r="E670" s="20"/>
      <c r="F670" s="20"/>
      <c r="G670" s="20"/>
      <c r="H670" s="37"/>
      <c r="I670" s="37"/>
      <c r="J670" s="37"/>
      <c r="K670" s="37"/>
      <c r="L670" s="37"/>
      <c r="M670" s="37"/>
      <c r="N670" s="37"/>
      <c r="O670" s="37"/>
      <c r="P670" s="37"/>
      <c r="Q670" s="37"/>
      <c r="R670" s="37"/>
      <c r="S670" s="37"/>
      <c r="T670" s="37"/>
      <c r="U670" s="37"/>
    </row>
    <row r="671" spans="1:21" ht="15.75" customHeight="1" x14ac:dyDescent="0.2">
      <c r="A671" s="37"/>
      <c r="B671" s="37"/>
      <c r="C671" s="20"/>
      <c r="D671" s="20"/>
      <c r="E671" s="20"/>
      <c r="F671" s="20"/>
      <c r="G671" s="20"/>
      <c r="H671" s="37"/>
      <c r="I671" s="37"/>
      <c r="J671" s="37"/>
      <c r="K671" s="37"/>
      <c r="L671" s="37"/>
      <c r="M671" s="37"/>
      <c r="N671" s="37"/>
      <c r="O671" s="37"/>
      <c r="P671" s="37"/>
      <c r="Q671" s="37"/>
      <c r="R671" s="37"/>
      <c r="S671" s="37"/>
      <c r="T671" s="37"/>
      <c r="U671" s="37"/>
    </row>
    <row r="672" spans="1:21" ht="15.75" customHeight="1" x14ac:dyDescent="0.2">
      <c r="A672" s="37"/>
      <c r="B672" s="37"/>
      <c r="C672" s="20"/>
      <c r="D672" s="20"/>
      <c r="E672" s="20"/>
      <c r="F672" s="20"/>
      <c r="G672" s="20"/>
      <c r="H672" s="37"/>
      <c r="I672" s="37"/>
      <c r="J672" s="37"/>
      <c r="K672" s="37"/>
      <c r="L672" s="37"/>
      <c r="M672" s="37"/>
      <c r="N672" s="37"/>
      <c r="O672" s="37"/>
      <c r="P672" s="37"/>
      <c r="Q672" s="37"/>
      <c r="R672" s="37"/>
      <c r="S672" s="37"/>
      <c r="T672" s="37"/>
      <c r="U672" s="37"/>
    </row>
    <row r="673" spans="1:21" ht="15.75" customHeight="1" x14ac:dyDescent="0.2">
      <c r="A673" s="37"/>
      <c r="B673" s="37"/>
      <c r="C673" s="20"/>
      <c r="D673" s="20"/>
      <c r="E673" s="20"/>
      <c r="F673" s="20"/>
      <c r="G673" s="20"/>
      <c r="H673" s="37"/>
      <c r="I673" s="37"/>
      <c r="J673" s="37"/>
      <c r="K673" s="37"/>
      <c r="L673" s="37"/>
      <c r="M673" s="37"/>
      <c r="N673" s="37"/>
      <c r="O673" s="37"/>
      <c r="P673" s="37"/>
      <c r="Q673" s="37"/>
      <c r="R673" s="37"/>
      <c r="S673" s="37"/>
      <c r="T673" s="37"/>
      <c r="U673" s="37"/>
    </row>
    <row r="674" spans="1:21" ht="15.75" customHeight="1" x14ac:dyDescent="0.2">
      <c r="A674" s="37"/>
      <c r="B674" s="37"/>
      <c r="C674" s="20"/>
      <c r="D674" s="20"/>
      <c r="E674" s="20"/>
      <c r="F674" s="20"/>
      <c r="G674" s="20"/>
      <c r="H674" s="37"/>
      <c r="I674" s="37"/>
      <c r="J674" s="37"/>
      <c r="K674" s="37"/>
      <c r="L674" s="37"/>
      <c r="M674" s="37"/>
      <c r="N674" s="37"/>
      <c r="O674" s="37"/>
      <c r="P674" s="37"/>
      <c r="Q674" s="37"/>
      <c r="R674" s="37"/>
      <c r="S674" s="37"/>
      <c r="T674" s="37"/>
      <c r="U674" s="37"/>
    </row>
    <row r="675" spans="1:21" ht="15.75" customHeight="1" x14ac:dyDescent="0.2">
      <c r="A675" s="37"/>
      <c r="B675" s="37"/>
      <c r="C675" s="20"/>
      <c r="D675" s="20"/>
      <c r="E675" s="20"/>
      <c r="F675" s="20"/>
      <c r="G675" s="20"/>
      <c r="H675" s="37"/>
      <c r="I675" s="37"/>
      <c r="J675" s="37"/>
      <c r="K675" s="37"/>
      <c r="L675" s="37"/>
      <c r="M675" s="37"/>
      <c r="N675" s="37"/>
      <c r="O675" s="37"/>
      <c r="P675" s="37"/>
      <c r="Q675" s="37"/>
      <c r="R675" s="37"/>
      <c r="S675" s="37"/>
      <c r="T675" s="37"/>
      <c r="U675" s="37"/>
    </row>
    <row r="676" spans="1:21" ht="15.75" customHeight="1" x14ac:dyDescent="0.2">
      <c r="A676" s="37"/>
      <c r="B676" s="37"/>
      <c r="C676" s="20"/>
      <c r="D676" s="20"/>
      <c r="E676" s="20"/>
      <c r="F676" s="20"/>
      <c r="G676" s="20"/>
      <c r="H676" s="37"/>
      <c r="I676" s="37"/>
      <c r="J676" s="37"/>
      <c r="K676" s="37"/>
      <c r="L676" s="37"/>
      <c r="M676" s="37"/>
      <c r="N676" s="37"/>
      <c r="O676" s="37"/>
      <c r="P676" s="37"/>
      <c r="Q676" s="37"/>
      <c r="R676" s="37"/>
      <c r="S676" s="37"/>
      <c r="T676" s="37"/>
      <c r="U676" s="37"/>
    </row>
    <row r="677" spans="1:21" ht="15.75" customHeight="1" x14ac:dyDescent="0.2">
      <c r="A677" s="37"/>
      <c r="B677" s="37"/>
      <c r="C677" s="20"/>
      <c r="D677" s="20"/>
      <c r="E677" s="20"/>
      <c r="F677" s="20"/>
      <c r="G677" s="20"/>
      <c r="H677" s="37"/>
      <c r="I677" s="37"/>
      <c r="J677" s="37"/>
      <c r="K677" s="37"/>
      <c r="L677" s="37"/>
      <c r="M677" s="37"/>
      <c r="N677" s="37"/>
      <c r="O677" s="37"/>
      <c r="P677" s="37"/>
      <c r="Q677" s="37"/>
      <c r="R677" s="37"/>
      <c r="S677" s="37"/>
      <c r="T677" s="37"/>
      <c r="U677" s="37"/>
    </row>
    <row r="678" spans="1:21" ht="15.75" customHeight="1" x14ac:dyDescent="0.2">
      <c r="A678" s="37"/>
      <c r="B678" s="37"/>
      <c r="C678" s="20"/>
      <c r="D678" s="20"/>
      <c r="E678" s="20"/>
      <c r="F678" s="20"/>
      <c r="G678" s="20"/>
      <c r="H678" s="37"/>
      <c r="I678" s="37"/>
      <c r="J678" s="37"/>
      <c r="K678" s="37"/>
      <c r="L678" s="37"/>
      <c r="M678" s="37"/>
      <c r="N678" s="37"/>
      <c r="O678" s="37"/>
      <c r="P678" s="37"/>
      <c r="Q678" s="37"/>
      <c r="R678" s="37"/>
      <c r="S678" s="37"/>
      <c r="T678" s="37"/>
      <c r="U678" s="37"/>
    </row>
    <row r="679" spans="1:21" ht="15.75" customHeight="1" x14ac:dyDescent="0.2">
      <c r="A679" s="37"/>
      <c r="B679" s="37"/>
      <c r="C679" s="20"/>
      <c r="D679" s="20"/>
      <c r="E679" s="20"/>
      <c r="F679" s="20"/>
      <c r="G679" s="20"/>
      <c r="H679" s="37"/>
      <c r="I679" s="37"/>
      <c r="J679" s="37"/>
      <c r="K679" s="37"/>
      <c r="L679" s="37"/>
      <c r="M679" s="37"/>
      <c r="N679" s="37"/>
      <c r="O679" s="37"/>
      <c r="P679" s="37"/>
      <c r="Q679" s="37"/>
      <c r="R679" s="37"/>
      <c r="S679" s="37"/>
      <c r="T679" s="37"/>
      <c r="U679" s="37"/>
    </row>
    <row r="680" spans="1:21" ht="15.75" customHeight="1" x14ac:dyDescent="0.2">
      <c r="A680" s="37"/>
      <c r="B680" s="37"/>
      <c r="C680" s="20"/>
      <c r="D680" s="20"/>
      <c r="E680" s="20"/>
      <c r="F680" s="20"/>
      <c r="G680" s="20"/>
      <c r="H680" s="37"/>
      <c r="I680" s="37"/>
      <c r="J680" s="37"/>
      <c r="K680" s="37"/>
      <c r="L680" s="37"/>
      <c r="M680" s="37"/>
      <c r="N680" s="37"/>
      <c r="O680" s="37"/>
      <c r="P680" s="37"/>
      <c r="Q680" s="37"/>
      <c r="R680" s="37"/>
      <c r="S680" s="37"/>
      <c r="T680" s="37"/>
      <c r="U680" s="37"/>
    </row>
    <row r="681" spans="1:21" ht="15.75" customHeight="1" x14ac:dyDescent="0.2">
      <c r="A681" s="37"/>
      <c r="B681" s="37"/>
      <c r="C681" s="20"/>
      <c r="D681" s="20"/>
      <c r="E681" s="20"/>
      <c r="F681" s="20"/>
      <c r="G681" s="20"/>
      <c r="H681" s="37"/>
      <c r="I681" s="37"/>
      <c r="J681" s="37"/>
      <c r="K681" s="37"/>
      <c r="L681" s="37"/>
      <c r="M681" s="37"/>
      <c r="N681" s="37"/>
      <c r="O681" s="37"/>
      <c r="P681" s="37"/>
      <c r="Q681" s="37"/>
      <c r="R681" s="37"/>
      <c r="S681" s="37"/>
      <c r="T681" s="37"/>
      <c r="U681" s="37"/>
    </row>
    <row r="682" spans="1:21" ht="15.75" customHeight="1" x14ac:dyDescent="0.2">
      <c r="A682" s="37"/>
      <c r="B682" s="37"/>
      <c r="C682" s="20"/>
      <c r="D682" s="20"/>
      <c r="E682" s="20"/>
      <c r="F682" s="20"/>
      <c r="G682" s="20"/>
      <c r="H682" s="37"/>
      <c r="I682" s="37"/>
      <c r="J682" s="37"/>
      <c r="K682" s="37"/>
      <c r="L682" s="37"/>
      <c r="M682" s="37"/>
      <c r="N682" s="37"/>
      <c r="O682" s="37"/>
      <c r="P682" s="37"/>
      <c r="Q682" s="37"/>
      <c r="R682" s="37"/>
      <c r="S682" s="37"/>
      <c r="T682" s="37"/>
      <c r="U682" s="37"/>
    </row>
    <row r="683" spans="1:21" ht="15.75" customHeight="1" x14ac:dyDescent="0.2">
      <c r="A683" s="37"/>
      <c r="B683" s="37"/>
      <c r="C683" s="20"/>
      <c r="D683" s="20"/>
      <c r="E683" s="20"/>
      <c r="F683" s="20"/>
      <c r="G683" s="20"/>
      <c r="H683" s="37"/>
      <c r="I683" s="37"/>
      <c r="J683" s="37"/>
      <c r="K683" s="37"/>
      <c r="L683" s="37"/>
      <c r="M683" s="37"/>
      <c r="N683" s="37"/>
      <c r="O683" s="37"/>
      <c r="P683" s="37"/>
      <c r="Q683" s="37"/>
      <c r="R683" s="37"/>
      <c r="S683" s="37"/>
      <c r="T683" s="37"/>
      <c r="U683" s="37"/>
    </row>
    <row r="684" spans="1:21" ht="15.75" customHeight="1" x14ac:dyDescent="0.2">
      <c r="A684" s="37"/>
      <c r="B684" s="37"/>
      <c r="C684" s="20"/>
      <c r="D684" s="20"/>
      <c r="E684" s="20"/>
      <c r="F684" s="20"/>
      <c r="G684" s="20"/>
      <c r="H684" s="37"/>
      <c r="I684" s="37"/>
      <c r="J684" s="37"/>
      <c r="K684" s="37"/>
      <c r="L684" s="37"/>
      <c r="M684" s="37"/>
      <c r="N684" s="37"/>
      <c r="O684" s="37"/>
      <c r="P684" s="37"/>
      <c r="Q684" s="37"/>
      <c r="R684" s="37"/>
      <c r="S684" s="37"/>
      <c r="T684" s="37"/>
      <c r="U684" s="37"/>
    </row>
    <row r="685" spans="1:21" ht="15.75" customHeight="1" x14ac:dyDescent="0.2">
      <c r="A685" s="37"/>
      <c r="B685" s="37"/>
      <c r="C685" s="20"/>
      <c r="D685" s="20"/>
      <c r="E685" s="20"/>
      <c r="F685" s="20"/>
      <c r="G685" s="20"/>
      <c r="H685" s="37"/>
      <c r="I685" s="37"/>
      <c r="J685" s="37"/>
      <c r="K685" s="37"/>
      <c r="L685" s="37"/>
      <c r="M685" s="37"/>
      <c r="N685" s="37"/>
      <c r="O685" s="37"/>
      <c r="P685" s="37"/>
      <c r="Q685" s="37"/>
      <c r="R685" s="37"/>
      <c r="S685" s="37"/>
      <c r="T685" s="37"/>
      <c r="U685" s="37"/>
    </row>
    <row r="686" spans="1:21" ht="15.75" customHeight="1" x14ac:dyDescent="0.2">
      <c r="A686" s="37"/>
      <c r="B686" s="37"/>
      <c r="C686" s="20"/>
      <c r="D686" s="20"/>
      <c r="E686" s="20"/>
      <c r="F686" s="20"/>
      <c r="G686" s="20"/>
      <c r="H686" s="37"/>
      <c r="I686" s="37"/>
      <c r="J686" s="37"/>
      <c r="K686" s="37"/>
      <c r="L686" s="37"/>
      <c r="M686" s="37"/>
      <c r="N686" s="37"/>
      <c r="O686" s="37"/>
      <c r="P686" s="37"/>
      <c r="Q686" s="37"/>
      <c r="R686" s="37"/>
      <c r="S686" s="37"/>
      <c r="T686" s="37"/>
      <c r="U686" s="37"/>
    </row>
    <row r="687" spans="1:21" ht="15.75" customHeight="1" x14ac:dyDescent="0.2">
      <c r="A687" s="37"/>
      <c r="B687" s="37"/>
      <c r="C687" s="20"/>
      <c r="D687" s="20"/>
      <c r="E687" s="20"/>
      <c r="F687" s="20"/>
      <c r="G687" s="20"/>
      <c r="H687" s="37"/>
      <c r="I687" s="37"/>
      <c r="J687" s="37"/>
      <c r="K687" s="37"/>
      <c r="L687" s="37"/>
      <c r="M687" s="37"/>
      <c r="N687" s="37"/>
      <c r="O687" s="37"/>
      <c r="P687" s="37"/>
      <c r="Q687" s="37"/>
      <c r="R687" s="37"/>
      <c r="S687" s="37"/>
      <c r="T687" s="37"/>
      <c r="U687" s="37"/>
    </row>
    <row r="688" spans="1:21" ht="15.75" customHeight="1" x14ac:dyDescent="0.2">
      <c r="A688" s="37"/>
      <c r="B688" s="37"/>
      <c r="C688" s="20"/>
      <c r="D688" s="20"/>
      <c r="E688" s="20"/>
      <c r="F688" s="20"/>
      <c r="G688" s="20"/>
      <c r="H688" s="37"/>
      <c r="I688" s="37"/>
      <c r="J688" s="37"/>
      <c r="K688" s="37"/>
      <c r="L688" s="37"/>
      <c r="M688" s="37"/>
      <c r="N688" s="37"/>
      <c r="O688" s="37"/>
      <c r="P688" s="37"/>
      <c r="Q688" s="37"/>
      <c r="R688" s="37"/>
      <c r="S688" s="37"/>
      <c r="T688" s="37"/>
      <c r="U688" s="37"/>
    </row>
    <row r="689" spans="1:21" ht="15.75" customHeight="1" x14ac:dyDescent="0.2">
      <c r="A689" s="37"/>
      <c r="B689" s="37"/>
      <c r="C689" s="20"/>
      <c r="D689" s="20"/>
      <c r="E689" s="20"/>
      <c r="F689" s="20"/>
      <c r="G689" s="20"/>
      <c r="H689" s="37"/>
      <c r="I689" s="37"/>
      <c r="J689" s="37"/>
      <c r="K689" s="37"/>
      <c r="L689" s="37"/>
      <c r="M689" s="37"/>
      <c r="N689" s="37"/>
      <c r="O689" s="37"/>
      <c r="P689" s="37"/>
      <c r="Q689" s="37"/>
      <c r="R689" s="37"/>
      <c r="S689" s="37"/>
      <c r="T689" s="37"/>
      <c r="U689" s="37"/>
    </row>
    <row r="690" spans="1:21" ht="15.75" customHeight="1" x14ac:dyDescent="0.2">
      <c r="A690" s="37"/>
      <c r="B690" s="37"/>
      <c r="C690" s="20"/>
      <c r="D690" s="20"/>
      <c r="E690" s="20"/>
      <c r="F690" s="20"/>
      <c r="G690" s="20"/>
      <c r="H690" s="37"/>
      <c r="I690" s="37"/>
      <c r="J690" s="37"/>
      <c r="K690" s="37"/>
      <c r="L690" s="37"/>
      <c r="M690" s="37"/>
      <c r="N690" s="37"/>
      <c r="O690" s="37"/>
      <c r="P690" s="37"/>
      <c r="Q690" s="37"/>
      <c r="R690" s="37"/>
      <c r="S690" s="37"/>
      <c r="T690" s="37"/>
      <c r="U690" s="37"/>
    </row>
    <row r="691" spans="1:21" ht="15.75" customHeight="1" x14ac:dyDescent="0.2">
      <c r="A691" s="37"/>
      <c r="B691" s="37"/>
      <c r="C691" s="20"/>
      <c r="D691" s="20"/>
      <c r="E691" s="20"/>
      <c r="F691" s="20"/>
      <c r="G691" s="20"/>
      <c r="H691" s="37"/>
      <c r="I691" s="37"/>
      <c r="J691" s="37"/>
      <c r="K691" s="37"/>
      <c r="L691" s="37"/>
      <c r="M691" s="37"/>
      <c r="N691" s="37"/>
      <c r="O691" s="37"/>
      <c r="P691" s="37"/>
      <c r="Q691" s="37"/>
      <c r="R691" s="37"/>
      <c r="S691" s="37"/>
      <c r="T691" s="37"/>
      <c r="U691" s="37"/>
    </row>
    <row r="692" spans="1:21" ht="15.75" customHeight="1" x14ac:dyDescent="0.2">
      <c r="A692" s="37"/>
      <c r="B692" s="37"/>
      <c r="C692" s="20"/>
      <c r="D692" s="20"/>
      <c r="E692" s="20"/>
      <c r="F692" s="20"/>
      <c r="G692" s="20"/>
      <c r="H692" s="37"/>
      <c r="I692" s="37"/>
      <c r="J692" s="37"/>
      <c r="K692" s="37"/>
      <c r="L692" s="37"/>
      <c r="M692" s="37"/>
      <c r="N692" s="37"/>
      <c r="O692" s="37"/>
      <c r="P692" s="37"/>
      <c r="Q692" s="37"/>
      <c r="R692" s="37"/>
      <c r="S692" s="37"/>
      <c r="T692" s="37"/>
      <c r="U692" s="37"/>
    </row>
    <row r="693" spans="1:21" ht="15.75" customHeight="1" x14ac:dyDescent="0.2">
      <c r="A693" s="37"/>
      <c r="B693" s="37"/>
      <c r="C693" s="20"/>
      <c r="D693" s="20"/>
      <c r="E693" s="20"/>
      <c r="F693" s="20"/>
      <c r="G693" s="20"/>
      <c r="H693" s="37"/>
      <c r="I693" s="37"/>
      <c r="J693" s="37"/>
      <c r="K693" s="37"/>
      <c r="L693" s="37"/>
      <c r="M693" s="37"/>
      <c r="N693" s="37"/>
      <c r="O693" s="37"/>
      <c r="P693" s="37"/>
      <c r="Q693" s="37"/>
      <c r="R693" s="37"/>
      <c r="S693" s="37"/>
      <c r="T693" s="37"/>
      <c r="U693" s="37"/>
    </row>
    <row r="694" spans="1:21" ht="15.75" customHeight="1" x14ac:dyDescent="0.2">
      <c r="A694" s="37"/>
      <c r="B694" s="37"/>
      <c r="C694" s="20"/>
      <c r="D694" s="20"/>
      <c r="E694" s="20"/>
      <c r="F694" s="20"/>
      <c r="G694" s="20"/>
      <c r="H694" s="37"/>
      <c r="I694" s="37"/>
      <c r="J694" s="37"/>
      <c r="K694" s="37"/>
      <c r="L694" s="37"/>
      <c r="M694" s="37"/>
      <c r="N694" s="37"/>
      <c r="O694" s="37"/>
      <c r="P694" s="37"/>
      <c r="Q694" s="37"/>
      <c r="R694" s="37"/>
      <c r="S694" s="37"/>
      <c r="T694" s="37"/>
      <c r="U694" s="37"/>
    </row>
    <row r="695" spans="1:21" ht="15.75" customHeight="1" x14ac:dyDescent="0.2">
      <c r="A695" s="37"/>
      <c r="B695" s="37"/>
      <c r="C695" s="20"/>
      <c r="D695" s="20"/>
      <c r="E695" s="20"/>
      <c r="F695" s="20"/>
      <c r="G695" s="20"/>
      <c r="H695" s="37"/>
      <c r="I695" s="37"/>
      <c r="J695" s="37"/>
      <c r="K695" s="37"/>
      <c r="L695" s="37"/>
      <c r="M695" s="37"/>
      <c r="N695" s="37"/>
      <c r="O695" s="37"/>
      <c r="P695" s="37"/>
      <c r="Q695" s="37"/>
      <c r="R695" s="37"/>
      <c r="S695" s="37"/>
      <c r="T695" s="37"/>
      <c r="U695" s="37"/>
    </row>
    <row r="696" spans="1:21" ht="15.75" customHeight="1" x14ac:dyDescent="0.2">
      <c r="A696" s="37"/>
      <c r="B696" s="37"/>
      <c r="C696" s="20"/>
      <c r="D696" s="20"/>
      <c r="E696" s="20"/>
      <c r="F696" s="20"/>
      <c r="G696" s="20"/>
      <c r="H696" s="37"/>
      <c r="I696" s="37"/>
      <c r="J696" s="37"/>
      <c r="K696" s="37"/>
      <c r="L696" s="37"/>
      <c r="M696" s="37"/>
      <c r="N696" s="37"/>
      <c r="O696" s="37"/>
      <c r="P696" s="37"/>
      <c r="Q696" s="37"/>
      <c r="R696" s="37"/>
      <c r="S696" s="37"/>
      <c r="T696" s="37"/>
      <c r="U696" s="37"/>
    </row>
    <row r="697" spans="1:21" ht="15.75" customHeight="1" x14ac:dyDescent="0.2">
      <c r="A697" s="37"/>
      <c r="B697" s="37"/>
      <c r="C697" s="20"/>
      <c r="D697" s="20"/>
      <c r="E697" s="20"/>
      <c r="F697" s="20"/>
      <c r="G697" s="20"/>
      <c r="H697" s="37"/>
      <c r="I697" s="37"/>
      <c r="J697" s="37"/>
      <c r="K697" s="37"/>
      <c r="L697" s="37"/>
      <c r="M697" s="37"/>
      <c r="N697" s="37"/>
      <c r="O697" s="37"/>
      <c r="P697" s="37"/>
      <c r="Q697" s="37"/>
      <c r="R697" s="37"/>
      <c r="S697" s="37"/>
      <c r="T697" s="37"/>
      <c r="U697" s="37"/>
    </row>
    <row r="698" spans="1:21" ht="15.75" customHeight="1" x14ac:dyDescent="0.2">
      <c r="A698" s="37"/>
      <c r="B698" s="37"/>
      <c r="C698" s="20"/>
      <c r="D698" s="20"/>
      <c r="E698" s="20"/>
      <c r="F698" s="20"/>
      <c r="G698" s="20"/>
      <c r="H698" s="37"/>
      <c r="I698" s="37"/>
      <c r="J698" s="37"/>
      <c r="K698" s="37"/>
      <c r="L698" s="37"/>
      <c r="M698" s="37"/>
      <c r="N698" s="37"/>
      <c r="O698" s="37"/>
      <c r="P698" s="37"/>
      <c r="Q698" s="37"/>
      <c r="R698" s="37"/>
      <c r="S698" s="37"/>
      <c r="T698" s="37"/>
      <c r="U698" s="37"/>
    </row>
    <row r="699" spans="1:21" ht="15.75" customHeight="1" x14ac:dyDescent="0.2">
      <c r="A699" s="37"/>
      <c r="B699" s="37"/>
      <c r="C699" s="20"/>
      <c r="D699" s="20"/>
      <c r="E699" s="20"/>
      <c r="F699" s="20"/>
      <c r="G699" s="20"/>
      <c r="H699" s="37"/>
      <c r="I699" s="37"/>
      <c r="J699" s="37"/>
      <c r="K699" s="37"/>
      <c r="L699" s="37"/>
      <c r="M699" s="37"/>
      <c r="N699" s="37"/>
      <c r="O699" s="37"/>
      <c r="P699" s="37"/>
      <c r="Q699" s="37"/>
      <c r="R699" s="37"/>
      <c r="S699" s="37"/>
      <c r="T699" s="37"/>
      <c r="U699" s="37"/>
    </row>
    <row r="700" spans="1:21" ht="15.75" customHeight="1" x14ac:dyDescent="0.2">
      <c r="A700" s="37"/>
      <c r="B700" s="37"/>
      <c r="C700" s="20"/>
      <c r="D700" s="20"/>
      <c r="E700" s="20"/>
      <c r="F700" s="20"/>
      <c r="G700" s="20"/>
      <c r="H700" s="37"/>
      <c r="I700" s="37"/>
      <c r="J700" s="37"/>
      <c r="K700" s="37"/>
      <c r="L700" s="37"/>
      <c r="M700" s="37"/>
      <c r="N700" s="37"/>
      <c r="O700" s="37"/>
      <c r="P700" s="37"/>
      <c r="Q700" s="37"/>
      <c r="R700" s="37"/>
      <c r="S700" s="37"/>
      <c r="T700" s="37"/>
      <c r="U700" s="37"/>
    </row>
    <row r="701" spans="1:21" ht="15.75" customHeight="1" x14ac:dyDescent="0.2">
      <c r="A701" s="37"/>
      <c r="B701" s="37"/>
      <c r="C701" s="20"/>
      <c r="D701" s="20"/>
      <c r="E701" s="20"/>
      <c r="F701" s="20"/>
      <c r="G701" s="20"/>
      <c r="H701" s="37"/>
      <c r="I701" s="37"/>
      <c r="J701" s="37"/>
      <c r="K701" s="37"/>
      <c r="L701" s="37"/>
      <c r="M701" s="37"/>
      <c r="N701" s="37"/>
      <c r="O701" s="37"/>
      <c r="P701" s="37"/>
      <c r="Q701" s="37"/>
      <c r="R701" s="37"/>
      <c r="S701" s="37"/>
      <c r="T701" s="37"/>
      <c r="U701" s="37"/>
    </row>
    <row r="702" spans="1:21" ht="15.75" customHeight="1" x14ac:dyDescent="0.2">
      <c r="A702" s="37"/>
      <c r="B702" s="37"/>
      <c r="C702" s="20"/>
      <c r="D702" s="20"/>
      <c r="E702" s="20"/>
      <c r="F702" s="20"/>
      <c r="G702" s="20"/>
      <c r="H702" s="37"/>
      <c r="I702" s="37"/>
      <c r="J702" s="37"/>
      <c r="K702" s="37"/>
      <c r="L702" s="37"/>
      <c r="M702" s="37"/>
      <c r="N702" s="37"/>
      <c r="O702" s="37"/>
      <c r="P702" s="37"/>
      <c r="Q702" s="37"/>
      <c r="R702" s="37"/>
      <c r="S702" s="37"/>
      <c r="T702" s="37"/>
      <c r="U702" s="37"/>
    </row>
    <row r="703" spans="1:21" ht="15.75" customHeight="1" x14ac:dyDescent="0.2">
      <c r="A703" s="37"/>
      <c r="B703" s="37"/>
      <c r="C703" s="20"/>
      <c r="D703" s="20"/>
      <c r="E703" s="20"/>
      <c r="F703" s="20"/>
      <c r="G703" s="20"/>
      <c r="H703" s="37"/>
      <c r="I703" s="37"/>
      <c r="J703" s="37"/>
      <c r="K703" s="37"/>
      <c r="L703" s="37"/>
      <c r="M703" s="37"/>
      <c r="N703" s="37"/>
      <c r="O703" s="37"/>
      <c r="P703" s="37"/>
      <c r="Q703" s="37"/>
      <c r="R703" s="37"/>
      <c r="S703" s="37"/>
      <c r="T703" s="37"/>
      <c r="U703" s="37"/>
    </row>
    <row r="704" spans="1:21" ht="15.75" customHeight="1" x14ac:dyDescent="0.2">
      <c r="A704" s="37"/>
      <c r="B704" s="37"/>
      <c r="C704" s="20"/>
      <c r="D704" s="20"/>
      <c r="E704" s="20"/>
      <c r="F704" s="20"/>
      <c r="G704" s="20"/>
      <c r="H704" s="37"/>
      <c r="I704" s="37"/>
      <c r="J704" s="37"/>
      <c r="K704" s="37"/>
      <c r="L704" s="37"/>
      <c r="M704" s="37"/>
      <c r="N704" s="37"/>
      <c r="O704" s="37"/>
      <c r="P704" s="37"/>
      <c r="Q704" s="37"/>
      <c r="R704" s="37"/>
      <c r="S704" s="37"/>
      <c r="T704" s="37"/>
      <c r="U704" s="37"/>
    </row>
    <row r="705" spans="1:21" ht="15.75" customHeight="1" x14ac:dyDescent="0.2">
      <c r="A705" s="37"/>
      <c r="B705" s="37"/>
      <c r="C705" s="20"/>
      <c r="D705" s="20"/>
      <c r="E705" s="20"/>
      <c r="F705" s="20"/>
      <c r="G705" s="20"/>
      <c r="H705" s="37"/>
      <c r="I705" s="37"/>
      <c r="J705" s="37"/>
      <c r="K705" s="37"/>
      <c r="L705" s="37"/>
      <c r="M705" s="37"/>
      <c r="N705" s="37"/>
      <c r="O705" s="37"/>
      <c r="P705" s="37"/>
      <c r="Q705" s="37"/>
      <c r="R705" s="37"/>
      <c r="S705" s="37"/>
      <c r="T705" s="37"/>
      <c r="U705" s="37"/>
    </row>
    <row r="706" spans="1:21" ht="15.75" customHeight="1" x14ac:dyDescent="0.2">
      <c r="A706" s="37"/>
      <c r="B706" s="37"/>
      <c r="C706" s="20"/>
      <c r="D706" s="20"/>
      <c r="E706" s="20"/>
      <c r="F706" s="20"/>
      <c r="G706" s="20"/>
      <c r="H706" s="37"/>
      <c r="I706" s="37"/>
      <c r="J706" s="37"/>
      <c r="K706" s="37"/>
      <c r="L706" s="37"/>
      <c r="M706" s="37"/>
      <c r="N706" s="37"/>
      <c r="O706" s="37"/>
      <c r="P706" s="37"/>
      <c r="Q706" s="37"/>
      <c r="R706" s="37"/>
      <c r="S706" s="37"/>
      <c r="T706" s="37"/>
      <c r="U706" s="37"/>
    </row>
    <row r="707" spans="1:21" ht="15.75" customHeight="1" x14ac:dyDescent="0.2">
      <c r="A707" s="37"/>
      <c r="B707" s="37"/>
      <c r="C707" s="20"/>
      <c r="D707" s="20"/>
      <c r="E707" s="20"/>
      <c r="F707" s="20"/>
      <c r="G707" s="20"/>
      <c r="H707" s="37"/>
      <c r="I707" s="37"/>
      <c r="J707" s="37"/>
      <c r="K707" s="37"/>
      <c r="L707" s="37"/>
      <c r="M707" s="37"/>
      <c r="N707" s="37"/>
      <c r="O707" s="37"/>
      <c r="P707" s="37"/>
      <c r="Q707" s="37"/>
      <c r="R707" s="37"/>
      <c r="S707" s="37"/>
      <c r="T707" s="37"/>
      <c r="U707" s="37"/>
    </row>
    <row r="708" spans="1:21" ht="15.75" customHeight="1" x14ac:dyDescent="0.2">
      <c r="A708" s="37"/>
      <c r="B708" s="37"/>
      <c r="C708" s="20"/>
      <c r="D708" s="20"/>
      <c r="E708" s="20"/>
      <c r="F708" s="20"/>
      <c r="G708" s="20"/>
      <c r="H708" s="37"/>
      <c r="I708" s="37"/>
      <c r="J708" s="37"/>
      <c r="K708" s="37"/>
      <c r="L708" s="37"/>
      <c r="M708" s="37"/>
      <c r="N708" s="37"/>
      <c r="O708" s="37"/>
      <c r="P708" s="37"/>
      <c r="Q708" s="37"/>
      <c r="R708" s="37"/>
      <c r="S708" s="37"/>
      <c r="T708" s="37"/>
      <c r="U708" s="37"/>
    </row>
    <row r="709" spans="1:21" ht="15.75" customHeight="1" x14ac:dyDescent="0.2">
      <c r="A709" s="37"/>
      <c r="B709" s="37"/>
      <c r="C709" s="20"/>
      <c r="D709" s="20"/>
      <c r="E709" s="20"/>
      <c r="F709" s="20"/>
      <c r="G709" s="20"/>
      <c r="H709" s="37"/>
      <c r="I709" s="37"/>
      <c r="J709" s="37"/>
      <c r="K709" s="37"/>
      <c r="L709" s="37"/>
      <c r="M709" s="37"/>
      <c r="N709" s="37"/>
      <c r="O709" s="37"/>
      <c r="P709" s="37"/>
      <c r="Q709" s="37"/>
      <c r="R709" s="37"/>
      <c r="S709" s="37"/>
      <c r="T709" s="37"/>
      <c r="U709" s="37"/>
    </row>
    <row r="710" spans="1:21" ht="15.75" customHeight="1" x14ac:dyDescent="0.2">
      <c r="A710" s="37"/>
      <c r="B710" s="37"/>
      <c r="C710" s="20"/>
      <c r="D710" s="20"/>
      <c r="E710" s="20"/>
      <c r="F710" s="20"/>
      <c r="G710" s="20"/>
      <c r="H710" s="37"/>
      <c r="I710" s="37"/>
      <c r="J710" s="37"/>
      <c r="K710" s="37"/>
      <c r="L710" s="37"/>
      <c r="M710" s="37"/>
      <c r="N710" s="37"/>
      <c r="O710" s="37"/>
      <c r="P710" s="37"/>
      <c r="Q710" s="37"/>
      <c r="R710" s="37"/>
      <c r="S710" s="37"/>
      <c r="T710" s="37"/>
      <c r="U710" s="37"/>
    </row>
    <row r="711" spans="1:21" ht="15.75" customHeight="1" x14ac:dyDescent="0.2">
      <c r="A711" s="37"/>
      <c r="B711" s="37"/>
      <c r="C711" s="20"/>
      <c r="D711" s="20"/>
      <c r="E711" s="20"/>
      <c r="F711" s="20"/>
      <c r="G711" s="20"/>
      <c r="H711" s="37"/>
      <c r="I711" s="37"/>
      <c r="J711" s="37"/>
      <c r="K711" s="37"/>
      <c r="L711" s="37"/>
      <c r="M711" s="37"/>
      <c r="N711" s="37"/>
      <c r="O711" s="37"/>
      <c r="P711" s="37"/>
      <c r="Q711" s="37"/>
      <c r="R711" s="37"/>
      <c r="S711" s="37"/>
      <c r="T711" s="37"/>
      <c r="U711" s="37"/>
    </row>
    <row r="712" spans="1:21" ht="15.75" customHeight="1" x14ac:dyDescent="0.2">
      <c r="A712" s="37"/>
      <c r="B712" s="37"/>
      <c r="C712" s="20"/>
      <c r="D712" s="20"/>
      <c r="E712" s="20"/>
      <c r="F712" s="20"/>
      <c r="G712" s="20"/>
      <c r="H712" s="37"/>
      <c r="I712" s="37"/>
      <c r="J712" s="37"/>
      <c r="K712" s="37"/>
      <c r="L712" s="37"/>
      <c r="M712" s="37"/>
      <c r="N712" s="37"/>
      <c r="O712" s="37"/>
      <c r="P712" s="37"/>
      <c r="Q712" s="37"/>
      <c r="R712" s="37"/>
      <c r="S712" s="37"/>
      <c r="T712" s="37"/>
      <c r="U712" s="37"/>
    </row>
    <row r="713" spans="1:21" ht="15.75" customHeight="1" x14ac:dyDescent="0.2">
      <c r="A713" s="37"/>
      <c r="B713" s="37"/>
      <c r="C713" s="20"/>
      <c r="D713" s="20"/>
      <c r="E713" s="20"/>
      <c r="F713" s="20"/>
      <c r="G713" s="20"/>
      <c r="H713" s="37"/>
      <c r="I713" s="37"/>
      <c r="J713" s="37"/>
      <c r="K713" s="37"/>
      <c r="L713" s="37"/>
      <c r="M713" s="37"/>
      <c r="N713" s="37"/>
      <c r="O713" s="37"/>
      <c r="P713" s="37"/>
      <c r="Q713" s="37"/>
      <c r="R713" s="37"/>
      <c r="S713" s="37"/>
      <c r="T713" s="37"/>
      <c r="U713" s="37"/>
    </row>
    <row r="714" spans="1:21" ht="15.75" customHeight="1" x14ac:dyDescent="0.2">
      <c r="A714" s="37"/>
      <c r="B714" s="37"/>
      <c r="C714" s="20"/>
      <c r="D714" s="20"/>
      <c r="E714" s="20"/>
      <c r="F714" s="20"/>
      <c r="G714" s="20"/>
      <c r="H714" s="37"/>
      <c r="I714" s="37"/>
      <c r="J714" s="37"/>
      <c r="K714" s="37"/>
      <c r="L714" s="37"/>
      <c r="M714" s="37"/>
      <c r="N714" s="37"/>
      <c r="O714" s="37"/>
      <c r="P714" s="37"/>
      <c r="Q714" s="37"/>
      <c r="R714" s="37"/>
      <c r="S714" s="37"/>
      <c r="T714" s="37"/>
      <c r="U714" s="37"/>
    </row>
    <row r="715" spans="1:21" ht="15.75" customHeight="1" x14ac:dyDescent="0.2">
      <c r="A715" s="37"/>
      <c r="B715" s="37"/>
      <c r="C715" s="20"/>
      <c r="D715" s="20"/>
      <c r="E715" s="20"/>
      <c r="F715" s="20"/>
      <c r="G715" s="20"/>
      <c r="H715" s="37"/>
      <c r="I715" s="37"/>
      <c r="J715" s="37"/>
      <c r="K715" s="37"/>
      <c r="L715" s="37"/>
      <c r="M715" s="37"/>
      <c r="N715" s="37"/>
      <c r="O715" s="37"/>
      <c r="P715" s="37"/>
      <c r="Q715" s="37"/>
      <c r="R715" s="37"/>
      <c r="S715" s="37"/>
      <c r="T715" s="37"/>
      <c r="U715" s="37"/>
    </row>
    <row r="716" spans="1:21" ht="15.75" customHeight="1" x14ac:dyDescent="0.2">
      <c r="A716" s="37"/>
      <c r="B716" s="37"/>
      <c r="C716" s="20"/>
      <c r="D716" s="20"/>
      <c r="E716" s="20"/>
      <c r="F716" s="20"/>
      <c r="G716" s="20"/>
      <c r="H716" s="37"/>
      <c r="I716" s="37"/>
      <c r="J716" s="37"/>
      <c r="K716" s="37"/>
      <c r="L716" s="37"/>
      <c r="M716" s="37"/>
      <c r="N716" s="37"/>
      <c r="O716" s="37"/>
      <c r="P716" s="37"/>
      <c r="Q716" s="37"/>
      <c r="R716" s="37"/>
      <c r="S716" s="37"/>
      <c r="T716" s="37"/>
      <c r="U716" s="37"/>
    </row>
    <row r="717" spans="1:21" ht="15.75" customHeight="1" x14ac:dyDescent="0.2">
      <c r="A717" s="37"/>
      <c r="B717" s="37"/>
      <c r="C717" s="20"/>
      <c r="D717" s="20"/>
      <c r="E717" s="20"/>
      <c r="F717" s="20"/>
      <c r="G717" s="20"/>
      <c r="H717" s="37"/>
      <c r="I717" s="37"/>
      <c r="J717" s="37"/>
      <c r="K717" s="37"/>
      <c r="L717" s="37"/>
      <c r="M717" s="37"/>
      <c r="N717" s="37"/>
      <c r="O717" s="37"/>
      <c r="P717" s="37"/>
      <c r="Q717" s="37"/>
      <c r="R717" s="37"/>
      <c r="S717" s="37"/>
      <c r="T717" s="37"/>
      <c r="U717" s="37"/>
    </row>
    <row r="718" spans="1:21" ht="15.75" customHeight="1" x14ac:dyDescent="0.2">
      <c r="A718" s="37"/>
      <c r="B718" s="37"/>
      <c r="C718" s="20"/>
      <c r="D718" s="20"/>
      <c r="E718" s="20"/>
      <c r="F718" s="20"/>
      <c r="G718" s="20"/>
      <c r="H718" s="37"/>
      <c r="I718" s="37"/>
      <c r="J718" s="37"/>
      <c r="K718" s="37"/>
      <c r="L718" s="37"/>
      <c r="M718" s="37"/>
      <c r="N718" s="37"/>
      <c r="O718" s="37"/>
      <c r="P718" s="37"/>
      <c r="Q718" s="37"/>
      <c r="R718" s="37"/>
      <c r="S718" s="37"/>
      <c r="T718" s="37"/>
      <c r="U718" s="37"/>
    </row>
    <row r="719" spans="1:21" ht="15.75" customHeight="1" x14ac:dyDescent="0.2">
      <c r="A719" s="37"/>
      <c r="B719" s="37"/>
      <c r="C719" s="20"/>
      <c r="D719" s="20"/>
      <c r="E719" s="20"/>
      <c r="F719" s="20"/>
      <c r="G719" s="20"/>
      <c r="H719" s="37"/>
      <c r="I719" s="37"/>
      <c r="J719" s="37"/>
      <c r="K719" s="37"/>
      <c r="L719" s="37"/>
      <c r="M719" s="37"/>
      <c r="N719" s="37"/>
      <c r="O719" s="37"/>
      <c r="P719" s="37"/>
      <c r="Q719" s="37"/>
      <c r="R719" s="37"/>
      <c r="S719" s="37"/>
      <c r="T719" s="37"/>
      <c r="U719" s="37"/>
    </row>
    <row r="720" spans="1:21" ht="15.75" customHeight="1" x14ac:dyDescent="0.2">
      <c r="A720" s="37"/>
      <c r="B720" s="37"/>
      <c r="C720" s="20"/>
      <c r="D720" s="20"/>
      <c r="E720" s="20"/>
      <c r="F720" s="20"/>
      <c r="G720" s="20"/>
      <c r="H720" s="37"/>
      <c r="I720" s="37"/>
      <c r="J720" s="37"/>
      <c r="K720" s="37"/>
      <c r="L720" s="37"/>
      <c r="M720" s="37"/>
      <c r="N720" s="37"/>
      <c r="O720" s="37"/>
      <c r="P720" s="37"/>
      <c r="Q720" s="37"/>
      <c r="R720" s="37"/>
      <c r="S720" s="37"/>
      <c r="T720" s="37"/>
      <c r="U720" s="37"/>
    </row>
    <row r="721" spans="1:21" ht="15.75" customHeight="1" x14ac:dyDescent="0.2">
      <c r="A721" s="37"/>
      <c r="B721" s="37"/>
      <c r="C721" s="20"/>
      <c r="D721" s="20"/>
      <c r="E721" s="20"/>
      <c r="F721" s="20"/>
      <c r="G721" s="20"/>
      <c r="H721" s="37"/>
      <c r="I721" s="37"/>
      <c r="J721" s="37"/>
      <c r="K721" s="37"/>
      <c r="L721" s="37"/>
      <c r="M721" s="37"/>
      <c r="N721" s="37"/>
      <c r="O721" s="37"/>
      <c r="P721" s="37"/>
      <c r="Q721" s="37"/>
      <c r="R721" s="37"/>
      <c r="S721" s="37"/>
      <c r="T721" s="37"/>
      <c r="U721" s="37"/>
    </row>
    <row r="722" spans="1:21" ht="15.75" customHeight="1" x14ac:dyDescent="0.2">
      <c r="A722" s="37"/>
      <c r="B722" s="37"/>
      <c r="C722" s="20"/>
      <c r="D722" s="20"/>
      <c r="E722" s="20"/>
      <c r="F722" s="20"/>
      <c r="G722" s="20"/>
      <c r="H722" s="37"/>
      <c r="I722" s="37"/>
      <c r="J722" s="37"/>
      <c r="K722" s="37"/>
      <c r="L722" s="37"/>
      <c r="M722" s="37"/>
      <c r="N722" s="37"/>
      <c r="O722" s="37"/>
      <c r="P722" s="37"/>
      <c r="Q722" s="37"/>
      <c r="R722" s="37"/>
      <c r="S722" s="37"/>
      <c r="T722" s="37"/>
      <c r="U722" s="37"/>
    </row>
    <row r="723" spans="1:21" ht="15.75" customHeight="1" x14ac:dyDescent="0.2">
      <c r="A723" s="37"/>
      <c r="B723" s="37"/>
      <c r="C723" s="20"/>
      <c r="D723" s="20"/>
      <c r="E723" s="20"/>
      <c r="F723" s="20"/>
      <c r="G723" s="20"/>
      <c r="H723" s="37"/>
      <c r="I723" s="37"/>
      <c r="J723" s="37"/>
      <c r="K723" s="37"/>
      <c r="L723" s="37"/>
      <c r="M723" s="37"/>
      <c r="N723" s="37"/>
      <c r="O723" s="37"/>
      <c r="P723" s="37"/>
      <c r="Q723" s="37"/>
      <c r="R723" s="37"/>
      <c r="S723" s="37"/>
      <c r="T723" s="37"/>
      <c r="U723" s="37"/>
    </row>
    <row r="724" spans="1:21" ht="15.75" customHeight="1" x14ac:dyDescent="0.2">
      <c r="A724" s="37"/>
      <c r="B724" s="37"/>
      <c r="C724" s="20"/>
      <c r="D724" s="20"/>
      <c r="E724" s="20"/>
      <c r="F724" s="20"/>
      <c r="G724" s="20"/>
      <c r="H724" s="37"/>
      <c r="I724" s="37"/>
      <c r="J724" s="37"/>
      <c r="K724" s="37"/>
      <c r="L724" s="37"/>
      <c r="M724" s="37"/>
      <c r="N724" s="37"/>
      <c r="O724" s="37"/>
      <c r="P724" s="37"/>
      <c r="Q724" s="37"/>
      <c r="R724" s="37"/>
      <c r="S724" s="37"/>
      <c r="T724" s="37"/>
      <c r="U724" s="37"/>
    </row>
    <row r="725" spans="1:21" ht="15.75" customHeight="1" x14ac:dyDescent="0.2">
      <c r="A725" s="37"/>
      <c r="B725" s="37"/>
      <c r="C725" s="20"/>
      <c r="D725" s="20"/>
      <c r="E725" s="20"/>
      <c r="F725" s="20"/>
      <c r="G725" s="20"/>
      <c r="H725" s="37"/>
      <c r="I725" s="37"/>
      <c r="J725" s="37"/>
      <c r="K725" s="37"/>
      <c r="L725" s="37"/>
      <c r="M725" s="37"/>
      <c r="N725" s="37"/>
      <c r="O725" s="37"/>
      <c r="P725" s="37"/>
      <c r="Q725" s="37"/>
      <c r="R725" s="37"/>
      <c r="S725" s="37"/>
      <c r="T725" s="37"/>
      <c r="U725" s="37"/>
    </row>
    <row r="726" spans="1:21" ht="15.75" customHeight="1" x14ac:dyDescent="0.2">
      <c r="A726" s="37"/>
      <c r="B726" s="37"/>
      <c r="C726" s="20"/>
      <c r="D726" s="20"/>
      <c r="E726" s="20"/>
      <c r="F726" s="20"/>
      <c r="G726" s="20"/>
      <c r="H726" s="37"/>
      <c r="I726" s="37"/>
      <c r="J726" s="37"/>
      <c r="K726" s="37"/>
      <c r="L726" s="37"/>
      <c r="M726" s="37"/>
      <c r="N726" s="37"/>
      <c r="O726" s="37"/>
      <c r="P726" s="37"/>
      <c r="Q726" s="37"/>
      <c r="R726" s="37"/>
      <c r="S726" s="37"/>
      <c r="T726" s="37"/>
      <c r="U726" s="37"/>
    </row>
    <row r="727" spans="1:21" ht="15.75" customHeight="1" x14ac:dyDescent="0.2">
      <c r="A727" s="37"/>
      <c r="B727" s="37"/>
      <c r="C727" s="20"/>
      <c r="D727" s="20"/>
      <c r="E727" s="20"/>
      <c r="F727" s="20"/>
      <c r="G727" s="20"/>
      <c r="H727" s="37"/>
      <c r="I727" s="37"/>
      <c r="J727" s="37"/>
      <c r="K727" s="37"/>
      <c r="L727" s="37"/>
      <c r="M727" s="37"/>
      <c r="N727" s="37"/>
      <c r="O727" s="37"/>
      <c r="P727" s="37"/>
      <c r="Q727" s="37"/>
      <c r="R727" s="37"/>
      <c r="S727" s="37"/>
      <c r="T727" s="37"/>
      <c r="U727" s="37"/>
    </row>
    <row r="728" spans="1:21" ht="15.75" customHeight="1" x14ac:dyDescent="0.2">
      <c r="A728" s="37"/>
      <c r="B728" s="37"/>
      <c r="C728" s="20"/>
      <c r="D728" s="20"/>
      <c r="E728" s="20"/>
      <c r="F728" s="20"/>
      <c r="G728" s="20"/>
      <c r="H728" s="37"/>
      <c r="I728" s="37"/>
      <c r="J728" s="37"/>
      <c r="K728" s="37"/>
      <c r="L728" s="37"/>
      <c r="M728" s="37"/>
      <c r="N728" s="37"/>
      <c r="O728" s="37"/>
      <c r="P728" s="37"/>
      <c r="Q728" s="37"/>
      <c r="R728" s="37"/>
      <c r="S728" s="37"/>
      <c r="T728" s="37"/>
      <c r="U728" s="37"/>
    </row>
    <row r="729" spans="1:21" ht="15.75" customHeight="1" x14ac:dyDescent="0.2">
      <c r="A729" s="37"/>
      <c r="B729" s="37"/>
      <c r="C729" s="20"/>
      <c r="D729" s="20"/>
      <c r="E729" s="20"/>
      <c r="F729" s="20"/>
      <c r="G729" s="20"/>
      <c r="H729" s="37"/>
      <c r="I729" s="37"/>
      <c r="J729" s="37"/>
      <c r="K729" s="37"/>
      <c r="L729" s="37"/>
      <c r="M729" s="37"/>
      <c r="N729" s="37"/>
      <c r="O729" s="37"/>
      <c r="P729" s="37"/>
      <c r="Q729" s="37"/>
      <c r="R729" s="37"/>
      <c r="S729" s="37"/>
      <c r="T729" s="37"/>
      <c r="U729" s="37"/>
    </row>
    <row r="730" spans="1:21" ht="15.75" customHeight="1" x14ac:dyDescent="0.2">
      <c r="A730" s="37"/>
      <c r="B730" s="37"/>
      <c r="C730" s="20"/>
      <c r="D730" s="20"/>
      <c r="E730" s="20"/>
      <c r="F730" s="20"/>
      <c r="G730" s="20"/>
      <c r="H730" s="37"/>
      <c r="I730" s="37"/>
      <c r="J730" s="37"/>
      <c r="K730" s="37"/>
      <c r="L730" s="37"/>
      <c r="M730" s="37"/>
      <c r="N730" s="37"/>
      <c r="O730" s="37"/>
      <c r="P730" s="37"/>
      <c r="Q730" s="37"/>
      <c r="R730" s="37"/>
      <c r="S730" s="37"/>
      <c r="T730" s="37"/>
      <c r="U730" s="37"/>
    </row>
    <row r="731" spans="1:21" ht="15.75" customHeight="1" x14ac:dyDescent="0.2">
      <c r="A731" s="37"/>
      <c r="B731" s="37"/>
      <c r="C731" s="20"/>
      <c r="D731" s="20"/>
      <c r="E731" s="20"/>
      <c r="F731" s="20"/>
      <c r="G731" s="20"/>
      <c r="H731" s="37"/>
      <c r="I731" s="37"/>
      <c r="J731" s="37"/>
      <c r="K731" s="37"/>
      <c r="L731" s="37"/>
      <c r="M731" s="37"/>
      <c r="N731" s="37"/>
      <c r="O731" s="37"/>
      <c r="P731" s="37"/>
      <c r="Q731" s="37"/>
      <c r="R731" s="37"/>
      <c r="S731" s="37"/>
      <c r="T731" s="37"/>
      <c r="U731" s="37"/>
    </row>
    <row r="732" spans="1:21" ht="15.75" customHeight="1" x14ac:dyDescent="0.2">
      <c r="A732" s="37"/>
      <c r="B732" s="37"/>
      <c r="C732" s="20"/>
      <c r="D732" s="20"/>
      <c r="E732" s="20"/>
      <c r="F732" s="20"/>
      <c r="G732" s="20"/>
      <c r="H732" s="37"/>
      <c r="I732" s="37"/>
      <c r="J732" s="37"/>
      <c r="K732" s="37"/>
      <c r="L732" s="37"/>
      <c r="M732" s="37"/>
      <c r="N732" s="37"/>
      <c r="O732" s="37"/>
      <c r="P732" s="37"/>
      <c r="Q732" s="37"/>
      <c r="R732" s="37"/>
      <c r="S732" s="37"/>
      <c r="T732" s="37"/>
      <c r="U732" s="37"/>
    </row>
    <row r="733" spans="1:21" ht="15.75" customHeight="1" x14ac:dyDescent="0.2">
      <c r="A733" s="37"/>
      <c r="B733" s="37"/>
      <c r="C733" s="20"/>
      <c r="D733" s="20"/>
      <c r="E733" s="20"/>
      <c r="F733" s="20"/>
      <c r="G733" s="20"/>
      <c r="H733" s="37"/>
      <c r="I733" s="37"/>
      <c r="J733" s="37"/>
      <c r="K733" s="37"/>
      <c r="L733" s="37"/>
      <c r="M733" s="37"/>
      <c r="N733" s="37"/>
      <c r="O733" s="37"/>
      <c r="P733" s="37"/>
      <c r="Q733" s="37"/>
      <c r="R733" s="37"/>
      <c r="S733" s="37"/>
      <c r="T733" s="37"/>
      <c r="U733" s="37"/>
    </row>
    <row r="734" spans="1:21" ht="15.75" customHeight="1" x14ac:dyDescent="0.2">
      <c r="A734" s="37"/>
      <c r="B734" s="37"/>
      <c r="C734" s="20"/>
      <c r="D734" s="20"/>
      <c r="E734" s="20"/>
      <c r="F734" s="20"/>
      <c r="G734" s="20"/>
      <c r="H734" s="37"/>
      <c r="I734" s="37"/>
      <c r="J734" s="37"/>
      <c r="K734" s="37"/>
      <c r="L734" s="37"/>
      <c r="M734" s="37"/>
      <c r="N734" s="37"/>
      <c r="O734" s="37"/>
      <c r="P734" s="37"/>
      <c r="Q734" s="37"/>
      <c r="R734" s="37"/>
      <c r="S734" s="37"/>
      <c r="T734" s="37"/>
      <c r="U734" s="37"/>
    </row>
    <row r="735" spans="1:21" ht="15.75" customHeight="1" x14ac:dyDescent="0.2">
      <c r="A735" s="37"/>
      <c r="B735" s="37"/>
      <c r="C735" s="20"/>
      <c r="D735" s="20"/>
      <c r="E735" s="20"/>
      <c r="F735" s="20"/>
      <c r="G735" s="20"/>
      <c r="H735" s="37"/>
      <c r="I735" s="37"/>
      <c r="J735" s="37"/>
      <c r="K735" s="37"/>
      <c r="L735" s="37"/>
      <c r="M735" s="37"/>
      <c r="N735" s="37"/>
      <c r="O735" s="37"/>
      <c r="P735" s="37"/>
      <c r="Q735" s="37"/>
      <c r="R735" s="37"/>
      <c r="S735" s="37"/>
      <c r="T735" s="37"/>
      <c r="U735" s="37"/>
    </row>
    <row r="736" spans="1:21" ht="15.75" customHeight="1" x14ac:dyDescent="0.2">
      <c r="A736" s="37"/>
      <c r="B736" s="37"/>
      <c r="C736" s="20"/>
      <c r="D736" s="20"/>
      <c r="E736" s="20"/>
      <c r="F736" s="20"/>
      <c r="G736" s="20"/>
      <c r="H736" s="37"/>
      <c r="I736" s="37"/>
      <c r="J736" s="37"/>
      <c r="K736" s="37"/>
      <c r="L736" s="37"/>
      <c r="M736" s="37"/>
      <c r="N736" s="37"/>
      <c r="O736" s="37"/>
      <c r="P736" s="37"/>
      <c r="Q736" s="37"/>
      <c r="R736" s="37"/>
      <c r="S736" s="37"/>
      <c r="T736" s="37"/>
      <c r="U736" s="37"/>
    </row>
    <row r="737" spans="1:21" ht="15.75" customHeight="1" x14ac:dyDescent="0.2">
      <c r="A737" s="37"/>
      <c r="B737" s="37"/>
      <c r="C737" s="20"/>
      <c r="D737" s="20"/>
      <c r="E737" s="20"/>
      <c r="F737" s="20"/>
      <c r="G737" s="20"/>
      <c r="H737" s="37"/>
      <c r="I737" s="37"/>
      <c r="J737" s="37"/>
      <c r="K737" s="37"/>
      <c r="L737" s="37"/>
      <c r="M737" s="37"/>
      <c r="N737" s="37"/>
      <c r="O737" s="37"/>
      <c r="P737" s="37"/>
      <c r="Q737" s="37"/>
      <c r="R737" s="37"/>
      <c r="S737" s="37"/>
      <c r="T737" s="37"/>
      <c r="U737" s="37"/>
    </row>
    <row r="738" spans="1:21" ht="15.75" customHeight="1" x14ac:dyDescent="0.2">
      <c r="A738" s="37"/>
      <c r="B738" s="37"/>
      <c r="C738" s="20"/>
      <c r="D738" s="20"/>
      <c r="E738" s="20"/>
      <c r="F738" s="20"/>
      <c r="G738" s="20"/>
      <c r="H738" s="37"/>
      <c r="I738" s="37"/>
      <c r="J738" s="37"/>
      <c r="K738" s="37"/>
      <c r="L738" s="37"/>
      <c r="M738" s="37"/>
      <c r="N738" s="37"/>
      <c r="O738" s="37"/>
      <c r="P738" s="37"/>
      <c r="Q738" s="37"/>
      <c r="R738" s="37"/>
      <c r="S738" s="37"/>
      <c r="T738" s="37"/>
      <c r="U738" s="37"/>
    </row>
    <row r="739" spans="1:21" ht="15.75" customHeight="1" x14ac:dyDescent="0.2">
      <c r="A739" s="37"/>
      <c r="B739" s="37"/>
      <c r="C739" s="20"/>
      <c r="D739" s="20"/>
      <c r="E739" s="20"/>
      <c r="F739" s="20"/>
      <c r="G739" s="20"/>
      <c r="H739" s="37"/>
      <c r="I739" s="37"/>
      <c r="J739" s="37"/>
      <c r="K739" s="37"/>
      <c r="L739" s="37"/>
      <c r="M739" s="37"/>
      <c r="N739" s="37"/>
      <c r="O739" s="37"/>
      <c r="P739" s="37"/>
      <c r="Q739" s="37"/>
      <c r="R739" s="37"/>
      <c r="S739" s="37"/>
      <c r="T739" s="37"/>
      <c r="U739" s="37"/>
    </row>
    <row r="740" spans="1:21" ht="15.75" customHeight="1" x14ac:dyDescent="0.2">
      <c r="A740" s="37"/>
      <c r="B740" s="37"/>
      <c r="C740" s="20"/>
      <c r="D740" s="20"/>
      <c r="E740" s="20"/>
      <c r="F740" s="20"/>
      <c r="G740" s="20"/>
      <c r="H740" s="37"/>
      <c r="I740" s="37"/>
      <c r="J740" s="37"/>
      <c r="K740" s="37"/>
      <c r="L740" s="37"/>
      <c r="M740" s="37"/>
      <c r="N740" s="37"/>
      <c r="O740" s="37"/>
      <c r="P740" s="37"/>
      <c r="Q740" s="37"/>
      <c r="R740" s="37"/>
      <c r="S740" s="37"/>
      <c r="T740" s="37"/>
      <c r="U740" s="37"/>
    </row>
    <row r="741" spans="1:21" ht="15.75" customHeight="1" x14ac:dyDescent="0.2">
      <c r="A741" s="37"/>
      <c r="B741" s="37"/>
      <c r="C741" s="20"/>
      <c r="D741" s="20"/>
      <c r="E741" s="20"/>
      <c r="F741" s="20"/>
      <c r="G741" s="20"/>
      <c r="H741" s="37"/>
      <c r="I741" s="37"/>
      <c r="J741" s="37"/>
      <c r="K741" s="37"/>
      <c r="L741" s="37"/>
      <c r="M741" s="37"/>
      <c r="N741" s="37"/>
      <c r="O741" s="37"/>
      <c r="P741" s="37"/>
      <c r="Q741" s="37"/>
      <c r="R741" s="37"/>
      <c r="S741" s="37"/>
      <c r="T741" s="37"/>
      <c r="U741" s="37"/>
    </row>
    <row r="742" spans="1:21" ht="15.75" customHeight="1" x14ac:dyDescent="0.2">
      <c r="A742" s="37"/>
      <c r="B742" s="37"/>
      <c r="C742" s="20"/>
      <c r="D742" s="20"/>
      <c r="E742" s="20"/>
      <c r="F742" s="20"/>
      <c r="G742" s="20"/>
      <c r="H742" s="37"/>
      <c r="I742" s="37"/>
      <c r="J742" s="37"/>
      <c r="K742" s="37"/>
      <c r="L742" s="37"/>
      <c r="M742" s="37"/>
      <c r="N742" s="37"/>
      <c r="O742" s="37"/>
      <c r="P742" s="37"/>
      <c r="Q742" s="37"/>
      <c r="R742" s="37"/>
      <c r="S742" s="37"/>
      <c r="T742" s="37"/>
      <c r="U742" s="37"/>
    </row>
    <row r="743" spans="1:21" ht="15.75" customHeight="1" x14ac:dyDescent="0.2">
      <c r="A743" s="37"/>
      <c r="B743" s="37"/>
      <c r="C743" s="20"/>
      <c r="D743" s="20"/>
      <c r="E743" s="20"/>
      <c r="F743" s="20"/>
      <c r="G743" s="20"/>
      <c r="H743" s="37"/>
      <c r="I743" s="37"/>
      <c r="J743" s="37"/>
      <c r="K743" s="37"/>
      <c r="L743" s="37"/>
      <c r="M743" s="37"/>
      <c r="N743" s="37"/>
      <c r="O743" s="37"/>
      <c r="P743" s="37"/>
      <c r="Q743" s="37"/>
      <c r="R743" s="37"/>
      <c r="S743" s="37"/>
      <c r="T743" s="37"/>
      <c r="U743" s="37"/>
    </row>
    <row r="744" spans="1:21" ht="15.75" customHeight="1" x14ac:dyDescent="0.2">
      <c r="A744" s="37"/>
      <c r="B744" s="37"/>
      <c r="C744" s="20"/>
      <c r="D744" s="20"/>
      <c r="E744" s="20"/>
      <c r="F744" s="20"/>
      <c r="G744" s="20"/>
      <c r="H744" s="37"/>
      <c r="I744" s="37"/>
      <c r="J744" s="37"/>
      <c r="K744" s="37"/>
      <c r="L744" s="37"/>
      <c r="M744" s="37"/>
      <c r="N744" s="37"/>
      <c r="O744" s="37"/>
      <c r="P744" s="37"/>
      <c r="Q744" s="37"/>
      <c r="R744" s="37"/>
      <c r="S744" s="37"/>
      <c r="T744" s="37"/>
      <c r="U744" s="37"/>
    </row>
    <row r="745" spans="1:21" ht="15.75" customHeight="1" x14ac:dyDescent="0.2">
      <c r="A745" s="37"/>
      <c r="B745" s="37"/>
      <c r="C745" s="20"/>
      <c r="D745" s="20"/>
      <c r="E745" s="20"/>
      <c r="F745" s="20"/>
      <c r="G745" s="20"/>
      <c r="H745" s="37"/>
      <c r="I745" s="37"/>
      <c r="J745" s="37"/>
      <c r="K745" s="37"/>
      <c r="L745" s="37"/>
      <c r="M745" s="37"/>
      <c r="N745" s="37"/>
      <c r="O745" s="37"/>
      <c r="P745" s="37"/>
      <c r="Q745" s="37"/>
      <c r="R745" s="37"/>
      <c r="S745" s="37"/>
      <c r="T745" s="37"/>
      <c r="U745" s="37"/>
    </row>
    <row r="746" spans="1:21" ht="15.75" customHeight="1" x14ac:dyDescent="0.2">
      <c r="A746" s="37"/>
      <c r="B746" s="37"/>
      <c r="C746" s="20"/>
      <c r="D746" s="20"/>
      <c r="E746" s="20"/>
      <c r="F746" s="20"/>
      <c r="G746" s="20"/>
      <c r="H746" s="37"/>
      <c r="I746" s="37"/>
      <c r="J746" s="37"/>
      <c r="K746" s="37"/>
      <c r="L746" s="37"/>
      <c r="M746" s="37"/>
      <c r="N746" s="37"/>
      <c r="O746" s="37"/>
      <c r="P746" s="37"/>
      <c r="Q746" s="37"/>
      <c r="R746" s="37"/>
      <c r="S746" s="37"/>
      <c r="T746" s="37"/>
      <c r="U746" s="37"/>
    </row>
    <row r="747" spans="1:21" ht="15.75" customHeight="1" x14ac:dyDescent="0.2">
      <c r="A747" s="37"/>
      <c r="B747" s="37"/>
      <c r="C747" s="20"/>
      <c r="D747" s="20"/>
      <c r="E747" s="20"/>
      <c r="F747" s="20"/>
      <c r="G747" s="20"/>
      <c r="H747" s="37"/>
      <c r="I747" s="37"/>
      <c r="J747" s="37"/>
      <c r="K747" s="37"/>
      <c r="L747" s="37"/>
      <c r="M747" s="37"/>
      <c r="N747" s="37"/>
      <c r="O747" s="37"/>
      <c r="P747" s="37"/>
      <c r="Q747" s="37"/>
      <c r="R747" s="37"/>
      <c r="S747" s="37"/>
      <c r="T747" s="37"/>
      <c r="U747" s="37"/>
    </row>
    <row r="748" spans="1:21" ht="15.75" customHeight="1" x14ac:dyDescent="0.2">
      <c r="A748" s="37"/>
      <c r="B748" s="37"/>
      <c r="C748" s="20"/>
      <c r="D748" s="20"/>
      <c r="E748" s="20"/>
      <c r="F748" s="20"/>
      <c r="G748" s="20"/>
      <c r="H748" s="37"/>
      <c r="I748" s="37"/>
      <c r="J748" s="37"/>
      <c r="K748" s="37"/>
      <c r="L748" s="37"/>
      <c r="M748" s="37"/>
      <c r="N748" s="37"/>
      <c r="O748" s="37"/>
      <c r="P748" s="37"/>
      <c r="Q748" s="37"/>
      <c r="R748" s="37"/>
      <c r="S748" s="37"/>
      <c r="T748" s="37"/>
      <c r="U748" s="37"/>
    </row>
    <row r="749" spans="1:21" ht="15.75" customHeight="1" x14ac:dyDescent="0.2">
      <c r="A749" s="37"/>
      <c r="B749" s="37"/>
      <c r="C749" s="20"/>
      <c r="D749" s="20"/>
      <c r="E749" s="20"/>
      <c r="F749" s="20"/>
      <c r="G749" s="20"/>
      <c r="H749" s="37"/>
      <c r="I749" s="37"/>
      <c r="J749" s="37"/>
      <c r="K749" s="37"/>
      <c r="L749" s="37"/>
      <c r="M749" s="37"/>
      <c r="N749" s="37"/>
      <c r="O749" s="37"/>
      <c r="P749" s="37"/>
      <c r="Q749" s="37"/>
      <c r="R749" s="37"/>
      <c r="S749" s="37"/>
      <c r="T749" s="37"/>
      <c r="U749" s="37"/>
    </row>
    <row r="750" spans="1:21" ht="15.75" customHeight="1" x14ac:dyDescent="0.2">
      <c r="A750" s="37"/>
      <c r="B750" s="37"/>
      <c r="C750" s="20"/>
      <c r="D750" s="20"/>
      <c r="E750" s="20"/>
      <c r="F750" s="20"/>
      <c r="G750" s="20"/>
      <c r="H750" s="37"/>
      <c r="I750" s="37"/>
      <c r="J750" s="37"/>
      <c r="K750" s="37"/>
      <c r="L750" s="37"/>
      <c r="M750" s="37"/>
      <c r="N750" s="37"/>
      <c r="O750" s="37"/>
      <c r="P750" s="37"/>
      <c r="Q750" s="37"/>
      <c r="R750" s="37"/>
      <c r="S750" s="37"/>
      <c r="T750" s="37"/>
      <c r="U750" s="37"/>
    </row>
    <row r="751" spans="1:21" ht="15.75" customHeight="1" x14ac:dyDescent="0.2">
      <c r="A751" s="37"/>
      <c r="B751" s="37"/>
      <c r="C751" s="20"/>
      <c r="D751" s="20"/>
      <c r="E751" s="20"/>
      <c r="F751" s="20"/>
      <c r="G751" s="20"/>
      <c r="H751" s="37"/>
      <c r="I751" s="37"/>
      <c r="J751" s="37"/>
      <c r="K751" s="37"/>
      <c r="L751" s="37"/>
      <c r="M751" s="37"/>
      <c r="N751" s="37"/>
      <c r="O751" s="37"/>
      <c r="P751" s="37"/>
      <c r="Q751" s="37"/>
      <c r="R751" s="37"/>
      <c r="S751" s="37"/>
      <c r="T751" s="37"/>
      <c r="U751" s="37"/>
    </row>
    <row r="752" spans="1:21" ht="15.75" customHeight="1" x14ac:dyDescent="0.2">
      <c r="A752" s="37"/>
      <c r="B752" s="37"/>
      <c r="C752" s="20"/>
      <c r="D752" s="20"/>
      <c r="E752" s="20"/>
      <c r="F752" s="20"/>
      <c r="G752" s="20"/>
      <c r="H752" s="37"/>
      <c r="I752" s="37"/>
      <c r="J752" s="37"/>
      <c r="K752" s="37"/>
      <c r="L752" s="37"/>
      <c r="M752" s="37"/>
      <c r="N752" s="37"/>
      <c r="O752" s="37"/>
      <c r="P752" s="37"/>
      <c r="Q752" s="37"/>
      <c r="R752" s="37"/>
      <c r="S752" s="37"/>
      <c r="T752" s="37"/>
      <c r="U752" s="37"/>
    </row>
    <row r="753" spans="1:21" ht="15.75" customHeight="1" x14ac:dyDescent="0.2">
      <c r="A753" s="37"/>
      <c r="B753" s="37"/>
      <c r="C753" s="20"/>
      <c r="D753" s="20"/>
      <c r="E753" s="20"/>
      <c r="F753" s="20"/>
      <c r="G753" s="20"/>
      <c r="H753" s="37"/>
      <c r="I753" s="37"/>
      <c r="J753" s="37"/>
      <c r="K753" s="37"/>
      <c r="L753" s="37"/>
      <c r="M753" s="37"/>
      <c r="N753" s="37"/>
      <c r="O753" s="37"/>
      <c r="P753" s="37"/>
      <c r="Q753" s="37"/>
      <c r="R753" s="37"/>
      <c r="S753" s="37"/>
      <c r="T753" s="37"/>
      <c r="U753" s="37"/>
    </row>
    <row r="754" spans="1:21" ht="15.75" customHeight="1" x14ac:dyDescent="0.2">
      <c r="A754" s="37"/>
      <c r="B754" s="37"/>
      <c r="C754" s="20"/>
      <c r="D754" s="20"/>
      <c r="E754" s="20"/>
      <c r="F754" s="20"/>
      <c r="G754" s="20"/>
      <c r="H754" s="37"/>
      <c r="I754" s="37"/>
      <c r="J754" s="37"/>
      <c r="K754" s="37"/>
      <c r="L754" s="37"/>
      <c r="M754" s="37"/>
      <c r="N754" s="37"/>
      <c r="O754" s="37"/>
      <c r="P754" s="37"/>
      <c r="Q754" s="37"/>
      <c r="R754" s="37"/>
      <c r="S754" s="37"/>
      <c r="T754" s="37"/>
      <c r="U754" s="37"/>
    </row>
    <row r="755" spans="1:21" ht="15.75" customHeight="1" x14ac:dyDescent="0.2">
      <c r="A755" s="37"/>
      <c r="B755" s="37"/>
      <c r="C755" s="20"/>
      <c r="D755" s="20"/>
      <c r="E755" s="20"/>
      <c r="F755" s="20"/>
      <c r="G755" s="20"/>
      <c r="H755" s="37"/>
      <c r="I755" s="37"/>
      <c r="J755" s="37"/>
      <c r="K755" s="37"/>
      <c r="L755" s="37"/>
      <c r="M755" s="37"/>
      <c r="N755" s="37"/>
      <c r="O755" s="37"/>
      <c r="P755" s="37"/>
      <c r="Q755" s="37"/>
      <c r="R755" s="37"/>
      <c r="S755" s="37"/>
      <c r="T755" s="37"/>
      <c r="U755" s="37"/>
    </row>
    <row r="756" spans="1:21" ht="15.75" customHeight="1" x14ac:dyDescent="0.2">
      <c r="A756" s="37"/>
      <c r="B756" s="37"/>
      <c r="C756" s="20"/>
      <c r="D756" s="20"/>
      <c r="E756" s="20"/>
      <c r="F756" s="20"/>
      <c r="G756" s="20"/>
      <c r="H756" s="37"/>
      <c r="I756" s="37"/>
      <c r="J756" s="37"/>
      <c r="K756" s="37"/>
      <c r="L756" s="37"/>
      <c r="M756" s="37"/>
      <c r="N756" s="37"/>
      <c r="O756" s="37"/>
      <c r="P756" s="37"/>
      <c r="Q756" s="37"/>
      <c r="R756" s="37"/>
      <c r="S756" s="37"/>
      <c r="T756" s="37"/>
      <c r="U756" s="37"/>
    </row>
    <row r="757" spans="1:21" ht="15.75" customHeight="1" x14ac:dyDescent="0.2">
      <c r="A757" s="37"/>
      <c r="B757" s="37"/>
      <c r="C757" s="20"/>
      <c r="D757" s="20"/>
      <c r="E757" s="20"/>
      <c r="F757" s="20"/>
      <c r="G757" s="20"/>
      <c r="H757" s="37"/>
      <c r="I757" s="37"/>
      <c r="J757" s="37"/>
      <c r="K757" s="37"/>
      <c r="L757" s="37"/>
      <c r="M757" s="37"/>
      <c r="N757" s="37"/>
      <c r="O757" s="37"/>
      <c r="P757" s="37"/>
      <c r="Q757" s="37"/>
      <c r="R757" s="37"/>
      <c r="S757" s="37"/>
      <c r="T757" s="37"/>
      <c r="U757" s="37"/>
    </row>
    <row r="758" spans="1:21" ht="15.75" customHeight="1" x14ac:dyDescent="0.2">
      <c r="A758" s="37"/>
      <c r="B758" s="37"/>
      <c r="C758" s="20"/>
      <c r="D758" s="20"/>
      <c r="E758" s="20"/>
      <c r="F758" s="20"/>
      <c r="G758" s="20"/>
      <c r="H758" s="37"/>
      <c r="I758" s="37"/>
      <c r="J758" s="37"/>
      <c r="K758" s="37"/>
      <c r="L758" s="37"/>
      <c r="M758" s="37"/>
      <c r="N758" s="37"/>
      <c r="O758" s="37"/>
      <c r="P758" s="37"/>
      <c r="Q758" s="37"/>
      <c r="R758" s="37"/>
      <c r="S758" s="37"/>
      <c r="T758" s="37"/>
      <c r="U758" s="37"/>
    </row>
    <row r="759" spans="1:21" ht="15.75" customHeight="1" x14ac:dyDescent="0.2">
      <c r="A759" s="37"/>
      <c r="B759" s="37"/>
      <c r="C759" s="20"/>
      <c r="D759" s="20"/>
      <c r="E759" s="20"/>
      <c r="F759" s="20"/>
      <c r="G759" s="20"/>
      <c r="H759" s="37"/>
      <c r="I759" s="37"/>
      <c r="J759" s="37"/>
      <c r="K759" s="37"/>
      <c r="L759" s="37"/>
      <c r="M759" s="37"/>
      <c r="N759" s="37"/>
      <c r="O759" s="37"/>
      <c r="P759" s="37"/>
      <c r="Q759" s="37"/>
      <c r="R759" s="37"/>
      <c r="S759" s="37"/>
      <c r="T759" s="37"/>
      <c r="U759" s="37"/>
    </row>
    <row r="760" spans="1:21" ht="15.75" customHeight="1" x14ac:dyDescent="0.2">
      <c r="A760" s="37"/>
      <c r="B760" s="37"/>
      <c r="C760" s="20"/>
      <c r="D760" s="20"/>
      <c r="E760" s="20"/>
      <c r="F760" s="20"/>
      <c r="G760" s="20"/>
      <c r="H760" s="37"/>
      <c r="I760" s="37"/>
      <c r="J760" s="37"/>
      <c r="K760" s="37"/>
      <c r="L760" s="37"/>
      <c r="M760" s="37"/>
      <c r="N760" s="37"/>
      <c r="O760" s="37"/>
      <c r="P760" s="37"/>
      <c r="Q760" s="37"/>
      <c r="R760" s="37"/>
      <c r="S760" s="37"/>
      <c r="T760" s="37"/>
      <c r="U760" s="37"/>
    </row>
    <row r="761" spans="1:21" ht="15.75" customHeight="1" x14ac:dyDescent="0.2">
      <c r="A761" s="37"/>
      <c r="B761" s="37"/>
      <c r="C761" s="20"/>
      <c r="D761" s="20"/>
      <c r="E761" s="20"/>
      <c r="F761" s="20"/>
      <c r="G761" s="20"/>
      <c r="H761" s="37"/>
      <c r="I761" s="37"/>
      <c r="J761" s="37"/>
      <c r="K761" s="37"/>
      <c r="L761" s="37"/>
      <c r="M761" s="37"/>
      <c r="N761" s="37"/>
      <c r="O761" s="37"/>
      <c r="P761" s="37"/>
      <c r="Q761" s="37"/>
      <c r="R761" s="37"/>
      <c r="S761" s="37"/>
      <c r="T761" s="37"/>
      <c r="U761" s="37"/>
    </row>
    <row r="762" spans="1:21" ht="15.75" customHeight="1" x14ac:dyDescent="0.2">
      <c r="A762" s="37"/>
      <c r="B762" s="37"/>
      <c r="C762" s="20"/>
      <c r="D762" s="20"/>
      <c r="E762" s="20"/>
      <c r="F762" s="20"/>
      <c r="G762" s="20"/>
      <c r="H762" s="37"/>
      <c r="I762" s="37"/>
      <c r="J762" s="37"/>
      <c r="K762" s="37"/>
      <c r="L762" s="37"/>
      <c r="M762" s="37"/>
      <c r="N762" s="37"/>
      <c r="O762" s="37"/>
      <c r="P762" s="37"/>
      <c r="Q762" s="37"/>
      <c r="R762" s="37"/>
      <c r="S762" s="37"/>
      <c r="T762" s="37"/>
      <c r="U762" s="37"/>
    </row>
    <row r="763" spans="1:21" ht="15.75" customHeight="1" x14ac:dyDescent="0.2">
      <c r="A763" s="37"/>
      <c r="B763" s="37"/>
      <c r="C763" s="20"/>
      <c r="D763" s="20"/>
      <c r="E763" s="20"/>
      <c r="F763" s="20"/>
      <c r="G763" s="20"/>
      <c r="H763" s="37"/>
      <c r="I763" s="37"/>
      <c r="J763" s="37"/>
      <c r="K763" s="37"/>
      <c r="L763" s="37"/>
      <c r="M763" s="37"/>
      <c r="N763" s="37"/>
      <c r="O763" s="37"/>
      <c r="P763" s="37"/>
      <c r="Q763" s="37"/>
      <c r="R763" s="37"/>
      <c r="S763" s="37"/>
      <c r="T763" s="37"/>
      <c r="U763" s="37"/>
    </row>
    <row r="764" spans="1:21" ht="15.75" customHeight="1" x14ac:dyDescent="0.2">
      <c r="A764" s="37"/>
      <c r="B764" s="37"/>
      <c r="C764" s="20"/>
      <c r="D764" s="20"/>
      <c r="E764" s="20"/>
      <c r="F764" s="20"/>
      <c r="G764" s="20"/>
      <c r="H764" s="37"/>
      <c r="I764" s="37"/>
      <c r="J764" s="37"/>
      <c r="K764" s="37"/>
      <c r="L764" s="37"/>
      <c r="M764" s="37"/>
      <c r="N764" s="37"/>
      <c r="O764" s="37"/>
      <c r="P764" s="37"/>
      <c r="Q764" s="37"/>
      <c r="R764" s="37"/>
      <c r="S764" s="37"/>
      <c r="T764" s="37"/>
      <c r="U764" s="37"/>
    </row>
    <row r="765" spans="1:21" ht="15.75" customHeight="1" x14ac:dyDescent="0.2">
      <c r="A765" s="37"/>
      <c r="B765" s="37"/>
      <c r="C765" s="20"/>
      <c r="D765" s="20"/>
      <c r="E765" s="20"/>
      <c r="F765" s="20"/>
      <c r="G765" s="20"/>
      <c r="H765" s="37"/>
      <c r="I765" s="37"/>
      <c r="J765" s="37"/>
      <c r="K765" s="37"/>
      <c r="L765" s="37"/>
      <c r="M765" s="37"/>
      <c r="N765" s="37"/>
      <c r="O765" s="37"/>
      <c r="P765" s="37"/>
      <c r="Q765" s="37"/>
      <c r="R765" s="37"/>
      <c r="S765" s="37"/>
      <c r="T765" s="37"/>
      <c r="U765" s="37"/>
    </row>
    <row r="766" spans="1:21" ht="15.75" customHeight="1" x14ac:dyDescent="0.2">
      <c r="A766" s="37"/>
      <c r="B766" s="37"/>
      <c r="C766" s="20"/>
      <c r="D766" s="20"/>
      <c r="E766" s="20"/>
      <c r="F766" s="20"/>
      <c r="G766" s="20"/>
      <c r="H766" s="37"/>
      <c r="I766" s="37"/>
      <c r="J766" s="37"/>
      <c r="K766" s="37"/>
      <c r="L766" s="37"/>
      <c r="M766" s="37"/>
      <c r="N766" s="37"/>
      <c r="O766" s="37"/>
      <c r="P766" s="37"/>
      <c r="Q766" s="37"/>
      <c r="R766" s="37"/>
      <c r="S766" s="37"/>
      <c r="T766" s="37"/>
      <c r="U766" s="37"/>
    </row>
    <row r="767" spans="1:21" ht="15.75" customHeight="1" x14ac:dyDescent="0.2">
      <c r="A767" s="37"/>
      <c r="B767" s="37"/>
      <c r="C767" s="20"/>
      <c r="D767" s="20"/>
      <c r="E767" s="20"/>
      <c r="F767" s="20"/>
      <c r="G767" s="20"/>
      <c r="H767" s="37"/>
      <c r="I767" s="37"/>
      <c r="J767" s="37"/>
      <c r="K767" s="37"/>
      <c r="L767" s="37"/>
      <c r="M767" s="37"/>
      <c r="N767" s="37"/>
      <c r="O767" s="37"/>
      <c r="P767" s="37"/>
      <c r="Q767" s="37"/>
      <c r="R767" s="37"/>
      <c r="S767" s="37"/>
      <c r="T767" s="37"/>
      <c r="U767" s="37"/>
    </row>
    <row r="768" spans="1:21" ht="15.75" customHeight="1" x14ac:dyDescent="0.2">
      <c r="A768" s="37"/>
      <c r="B768" s="37"/>
      <c r="C768" s="20"/>
      <c r="D768" s="20"/>
      <c r="E768" s="20"/>
      <c r="F768" s="20"/>
      <c r="G768" s="20"/>
      <c r="H768" s="37"/>
      <c r="I768" s="37"/>
      <c r="J768" s="37"/>
      <c r="K768" s="37"/>
      <c r="L768" s="37"/>
      <c r="M768" s="37"/>
      <c r="N768" s="37"/>
      <c r="O768" s="37"/>
      <c r="P768" s="37"/>
      <c r="Q768" s="37"/>
      <c r="R768" s="37"/>
      <c r="S768" s="37"/>
      <c r="T768" s="37"/>
      <c r="U768" s="37"/>
    </row>
    <row r="769" spans="1:21" ht="15.75" customHeight="1" x14ac:dyDescent="0.2">
      <c r="A769" s="37"/>
      <c r="B769" s="37"/>
      <c r="C769" s="20"/>
      <c r="D769" s="20"/>
      <c r="E769" s="20"/>
      <c r="F769" s="20"/>
      <c r="G769" s="20"/>
      <c r="H769" s="37"/>
      <c r="I769" s="37"/>
      <c r="J769" s="37"/>
      <c r="K769" s="37"/>
      <c r="L769" s="37"/>
      <c r="M769" s="37"/>
      <c r="N769" s="37"/>
      <c r="O769" s="37"/>
      <c r="P769" s="37"/>
      <c r="Q769" s="37"/>
      <c r="R769" s="37"/>
      <c r="S769" s="37"/>
      <c r="T769" s="37"/>
      <c r="U769" s="37"/>
    </row>
    <row r="770" spans="1:21" ht="15.75" customHeight="1" x14ac:dyDescent="0.2">
      <c r="A770" s="37"/>
      <c r="B770" s="37"/>
      <c r="C770" s="20"/>
      <c r="D770" s="20"/>
      <c r="E770" s="20"/>
      <c r="F770" s="20"/>
      <c r="G770" s="20"/>
      <c r="H770" s="37"/>
      <c r="I770" s="37"/>
      <c r="J770" s="37"/>
      <c r="K770" s="37"/>
      <c r="L770" s="37"/>
      <c r="M770" s="37"/>
      <c r="N770" s="37"/>
      <c r="O770" s="37"/>
      <c r="P770" s="37"/>
      <c r="Q770" s="37"/>
      <c r="R770" s="37"/>
      <c r="S770" s="37"/>
      <c r="T770" s="37"/>
      <c r="U770" s="37"/>
    </row>
    <row r="771" spans="1:21" ht="15.75" customHeight="1" x14ac:dyDescent="0.2">
      <c r="A771" s="37"/>
      <c r="B771" s="37"/>
      <c r="C771" s="20"/>
      <c r="D771" s="20"/>
      <c r="E771" s="20"/>
      <c r="F771" s="20"/>
      <c r="G771" s="20"/>
      <c r="H771" s="37"/>
      <c r="I771" s="37"/>
      <c r="J771" s="37"/>
      <c r="K771" s="37"/>
      <c r="L771" s="37"/>
      <c r="M771" s="37"/>
      <c r="N771" s="37"/>
      <c r="O771" s="37"/>
      <c r="P771" s="37"/>
      <c r="Q771" s="37"/>
      <c r="R771" s="37"/>
      <c r="S771" s="37"/>
      <c r="T771" s="37"/>
      <c r="U771" s="37"/>
    </row>
    <row r="772" spans="1:21" ht="15.75" customHeight="1" x14ac:dyDescent="0.2">
      <c r="A772" s="37"/>
      <c r="B772" s="37"/>
      <c r="C772" s="20"/>
      <c r="D772" s="20"/>
      <c r="E772" s="20"/>
      <c r="F772" s="20"/>
      <c r="G772" s="20"/>
      <c r="H772" s="37"/>
      <c r="I772" s="37"/>
      <c r="J772" s="37"/>
      <c r="K772" s="37"/>
      <c r="L772" s="37"/>
      <c r="M772" s="37"/>
      <c r="N772" s="37"/>
      <c r="O772" s="37"/>
      <c r="P772" s="37"/>
      <c r="Q772" s="37"/>
      <c r="R772" s="37"/>
      <c r="S772" s="37"/>
      <c r="T772" s="37"/>
      <c r="U772" s="37"/>
    </row>
    <row r="773" spans="1:21" ht="15.75" customHeight="1" x14ac:dyDescent="0.2">
      <c r="A773" s="37"/>
      <c r="B773" s="37"/>
      <c r="C773" s="20"/>
      <c r="D773" s="20"/>
      <c r="E773" s="20"/>
      <c r="F773" s="20"/>
      <c r="G773" s="20"/>
      <c r="H773" s="37"/>
      <c r="I773" s="37"/>
      <c r="J773" s="37"/>
      <c r="K773" s="37"/>
      <c r="L773" s="37"/>
      <c r="M773" s="37"/>
      <c r="N773" s="37"/>
      <c r="O773" s="37"/>
      <c r="P773" s="37"/>
      <c r="Q773" s="37"/>
      <c r="R773" s="37"/>
      <c r="S773" s="37"/>
      <c r="T773" s="37"/>
      <c r="U773" s="37"/>
    </row>
    <row r="774" spans="1:21" ht="15.75" customHeight="1" x14ac:dyDescent="0.2">
      <c r="A774" s="37"/>
      <c r="B774" s="37"/>
      <c r="C774" s="20"/>
      <c r="D774" s="20"/>
      <c r="E774" s="20"/>
      <c r="F774" s="20"/>
      <c r="G774" s="20"/>
      <c r="H774" s="37"/>
      <c r="I774" s="37"/>
      <c r="J774" s="37"/>
      <c r="K774" s="37"/>
      <c r="L774" s="37"/>
      <c r="M774" s="37"/>
      <c r="N774" s="37"/>
      <c r="O774" s="37"/>
      <c r="P774" s="37"/>
      <c r="Q774" s="37"/>
      <c r="R774" s="37"/>
      <c r="S774" s="37"/>
      <c r="T774" s="37"/>
      <c r="U774" s="37"/>
    </row>
    <row r="775" spans="1:21" ht="15.75" customHeight="1" x14ac:dyDescent="0.2">
      <c r="A775" s="37"/>
      <c r="B775" s="37"/>
      <c r="C775" s="20"/>
      <c r="D775" s="20"/>
      <c r="E775" s="20"/>
      <c r="F775" s="20"/>
      <c r="G775" s="20"/>
      <c r="H775" s="37"/>
      <c r="I775" s="37"/>
      <c r="J775" s="37"/>
      <c r="K775" s="37"/>
      <c r="L775" s="37"/>
      <c r="M775" s="37"/>
      <c r="N775" s="37"/>
      <c r="O775" s="37"/>
      <c r="P775" s="37"/>
      <c r="Q775" s="37"/>
      <c r="R775" s="37"/>
      <c r="S775" s="37"/>
      <c r="T775" s="37"/>
      <c r="U775" s="37"/>
    </row>
    <row r="776" spans="1:21" ht="15.75" customHeight="1" x14ac:dyDescent="0.2">
      <c r="A776" s="37"/>
      <c r="B776" s="37"/>
      <c r="C776" s="20"/>
      <c r="D776" s="20"/>
      <c r="E776" s="20"/>
      <c r="F776" s="20"/>
      <c r="G776" s="20"/>
      <c r="H776" s="37"/>
      <c r="I776" s="37"/>
      <c r="J776" s="37"/>
      <c r="K776" s="37"/>
      <c r="L776" s="37"/>
      <c r="M776" s="37"/>
      <c r="N776" s="37"/>
      <c r="O776" s="37"/>
      <c r="P776" s="37"/>
      <c r="Q776" s="37"/>
      <c r="R776" s="37"/>
      <c r="S776" s="37"/>
      <c r="T776" s="37"/>
      <c r="U776" s="37"/>
    </row>
    <row r="777" spans="1:21" ht="15.75" customHeight="1" x14ac:dyDescent="0.2">
      <c r="A777" s="37"/>
      <c r="B777" s="37"/>
      <c r="C777" s="20"/>
      <c r="D777" s="20"/>
      <c r="E777" s="20"/>
      <c r="F777" s="20"/>
      <c r="G777" s="20"/>
      <c r="H777" s="37"/>
      <c r="I777" s="37"/>
      <c r="J777" s="37"/>
      <c r="K777" s="37"/>
      <c r="L777" s="37"/>
      <c r="M777" s="37"/>
      <c r="N777" s="37"/>
      <c r="O777" s="37"/>
      <c r="P777" s="37"/>
      <c r="Q777" s="37"/>
      <c r="R777" s="37"/>
      <c r="S777" s="37"/>
      <c r="T777" s="37"/>
      <c r="U777" s="37"/>
    </row>
    <row r="778" spans="1:21" ht="15.75" customHeight="1" x14ac:dyDescent="0.2">
      <c r="A778" s="37"/>
      <c r="B778" s="37"/>
      <c r="C778" s="20"/>
      <c r="D778" s="20"/>
      <c r="E778" s="20"/>
      <c r="F778" s="20"/>
      <c r="G778" s="20"/>
      <c r="H778" s="37"/>
      <c r="I778" s="37"/>
      <c r="J778" s="37"/>
      <c r="K778" s="37"/>
      <c r="L778" s="37"/>
      <c r="M778" s="37"/>
      <c r="N778" s="37"/>
      <c r="O778" s="37"/>
      <c r="P778" s="37"/>
      <c r="Q778" s="37"/>
      <c r="R778" s="37"/>
      <c r="S778" s="37"/>
      <c r="T778" s="37"/>
      <c r="U778" s="37"/>
    </row>
    <row r="779" spans="1:21" ht="15.75" customHeight="1" x14ac:dyDescent="0.2">
      <c r="A779" s="37"/>
      <c r="B779" s="37"/>
      <c r="C779" s="20"/>
      <c r="D779" s="20"/>
      <c r="E779" s="20"/>
      <c r="F779" s="20"/>
      <c r="G779" s="20"/>
      <c r="H779" s="37"/>
      <c r="I779" s="37"/>
      <c r="J779" s="37"/>
      <c r="K779" s="37"/>
      <c r="L779" s="37"/>
      <c r="M779" s="37"/>
      <c r="N779" s="37"/>
      <c r="O779" s="37"/>
      <c r="P779" s="37"/>
      <c r="Q779" s="37"/>
      <c r="R779" s="37"/>
      <c r="S779" s="37"/>
      <c r="T779" s="37"/>
      <c r="U779" s="37"/>
    </row>
    <row r="780" spans="1:21" ht="15.75" customHeight="1" x14ac:dyDescent="0.2">
      <c r="A780" s="37"/>
      <c r="B780" s="37"/>
      <c r="C780" s="20"/>
      <c r="D780" s="20"/>
      <c r="E780" s="20"/>
      <c r="F780" s="20"/>
      <c r="G780" s="20"/>
      <c r="H780" s="37"/>
      <c r="I780" s="37"/>
      <c r="J780" s="37"/>
      <c r="K780" s="37"/>
      <c r="L780" s="37"/>
      <c r="M780" s="37"/>
      <c r="N780" s="37"/>
      <c r="O780" s="37"/>
      <c r="P780" s="37"/>
      <c r="Q780" s="37"/>
      <c r="R780" s="37"/>
      <c r="S780" s="37"/>
      <c r="T780" s="37"/>
      <c r="U780" s="37"/>
    </row>
    <row r="781" spans="1:21" ht="15.75" customHeight="1" x14ac:dyDescent="0.2">
      <c r="A781" s="37"/>
      <c r="B781" s="37"/>
      <c r="C781" s="20"/>
      <c r="D781" s="20"/>
      <c r="E781" s="20"/>
      <c r="F781" s="20"/>
      <c r="G781" s="20"/>
      <c r="H781" s="37"/>
      <c r="I781" s="37"/>
      <c r="J781" s="37"/>
      <c r="K781" s="37"/>
      <c r="L781" s="37"/>
      <c r="M781" s="37"/>
      <c r="N781" s="37"/>
      <c r="O781" s="37"/>
      <c r="P781" s="37"/>
      <c r="Q781" s="37"/>
      <c r="R781" s="37"/>
      <c r="S781" s="37"/>
      <c r="T781" s="37"/>
      <c r="U781" s="37"/>
    </row>
    <row r="782" spans="1:21" ht="15.75" customHeight="1" x14ac:dyDescent="0.2">
      <c r="A782" s="37"/>
      <c r="B782" s="37"/>
      <c r="C782" s="20"/>
      <c r="D782" s="20"/>
      <c r="E782" s="20"/>
      <c r="F782" s="20"/>
      <c r="G782" s="20"/>
      <c r="H782" s="37"/>
      <c r="I782" s="37"/>
      <c r="J782" s="37"/>
      <c r="K782" s="37"/>
      <c r="L782" s="37"/>
      <c r="M782" s="37"/>
      <c r="N782" s="37"/>
      <c r="O782" s="37"/>
      <c r="P782" s="37"/>
      <c r="Q782" s="37"/>
      <c r="R782" s="37"/>
      <c r="S782" s="37"/>
      <c r="T782" s="37"/>
      <c r="U782" s="37"/>
    </row>
    <row r="783" spans="1:21" ht="15.75" customHeight="1" x14ac:dyDescent="0.2">
      <c r="A783" s="37"/>
      <c r="B783" s="37"/>
      <c r="C783" s="20"/>
      <c r="D783" s="20"/>
      <c r="E783" s="20"/>
      <c r="F783" s="20"/>
      <c r="G783" s="20"/>
      <c r="H783" s="37"/>
      <c r="I783" s="37"/>
      <c r="J783" s="37"/>
      <c r="K783" s="37"/>
      <c r="L783" s="37"/>
      <c r="M783" s="37"/>
      <c r="N783" s="37"/>
      <c r="O783" s="37"/>
      <c r="P783" s="37"/>
      <c r="Q783" s="37"/>
      <c r="R783" s="37"/>
      <c r="S783" s="37"/>
      <c r="T783" s="37"/>
      <c r="U783" s="37"/>
    </row>
    <row r="784" spans="1:21" ht="15.75" customHeight="1" x14ac:dyDescent="0.2">
      <c r="A784" s="37"/>
      <c r="B784" s="37"/>
      <c r="C784" s="20"/>
      <c r="D784" s="20"/>
      <c r="E784" s="20"/>
      <c r="F784" s="20"/>
      <c r="G784" s="20"/>
      <c r="H784" s="37"/>
      <c r="I784" s="37"/>
      <c r="J784" s="37"/>
      <c r="K784" s="37"/>
      <c r="L784" s="37"/>
      <c r="M784" s="37"/>
      <c r="N784" s="37"/>
      <c r="O784" s="37"/>
      <c r="P784" s="37"/>
      <c r="Q784" s="37"/>
      <c r="R784" s="37"/>
      <c r="S784" s="37"/>
      <c r="T784" s="37"/>
      <c r="U784" s="37"/>
    </row>
    <row r="785" spans="1:21" ht="15.75" customHeight="1" x14ac:dyDescent="0.2">
      <c r="A785" s="37"/>
      <c r="B785" s="37"/>
      <c r="C785" s="20"/>
      <c r="D785" s="20"/>
      <c r="E785" s="20"/>
      <c r="F785" s="20"/>
      <c r="G785" s="20"/>
      <c r="H785" s="37"/>
      <c r="I785" s="37"/>
      <c r="J785" s="37"/>
      <c r="K785" s="37"/>
      <c r="L785" s="37"/>
      <c r="M785" s="37"/>
      <c r="N785" s="37"/>
      <c r="O785" s="37"/>
      <c r="P785" s="37"/>
      <c r="Q785" s="37"/>
      <c r="R785" s="37"/>
      <c r="S785" s="37"/>
      <c r="T785" s="37"/>
      <c r="U785" s="37"/>
    </row>
    <row r="786" spans="1:21" ht="15.75" customHeight="1" x14ac:dyDescent="0.2">
      <c r="A786" s="37"/>
      <c r="B786" s="37"/>
      <c r="C786" s="20"/>
      <c r="D786" s="20"/>
      <c r="E786" s="20"/>
      <c r="F786" s="20"/>
      <c r="G786" s="20"/>
      <c r="H786" s="37"/>
      <c r="I786" s="37"/>
      <c r="J786" s="37"/>
      <c r="K786" s="37"/>
      <c r="L786" s="37"/>
      <c r="M786" s="37"/>
      <c r="N786" s="37"/>
      <c r="O786" s="37"/>
      <c r="P786" s="37"/>
      <c r="Q786" s="37"/>
      <c r="R786" s="37"/>
      <c r="S786" s="37"/>
      <c r="T786" s="37"/>
      <c r="U786" s="37"/>
    </row>
    <row r="787" spans="1:21" ht="15.75" customHeight="1" x14ac:dyDescent="0.2">
      <c r="A787" s="37"/>
      <c r="B787" s="37"/>
      <c r="C787" s="20"/>
      <c r="D787" s="20"/>
      <c r="E787" s="20"/>
      <c r="F787" s="20"/>
      <c r="G787" s="20"/>
      <c r="H787" s="37"/>
      <c r="I787" s="37"/>
      <c r="J787" s="37"/>
      <c r="K787" s="37"/>
      <c r="L787" s="37"/>
      <c r="M787" s="37"/>
      <c r="N787" s="37"/>
      <c r="O787" s="37"/>
      <c r="P787" s="37"/>
      <c r="Q787" s="37"/>
      <c r="R787" s="37"/>
      <c r="S787" s="37"/>
      <c r="T787" s="37"/>
      <c r="U787" s="37"/>
    </row>
    <row r="788" spans="1:21" ht="15.75" customHeight="1" x14ac:dyDescent="0.2">
      <c r="A788" s="37"/>
      <c r="B788" s="37"/>
      <c r="C788" s="20"/>
      <c r="D788" s="20"/>
      <c r="E788" s="20"/>
      <c r="F788" s="20"/>
      <c r="G788" s="20"/>
      <c r="H788" s="37"/>
      <c r="I788" s="37"/>
      <c r="J788" s="37"/>
      <c r="K788" s="37"/>
      <c r="L788" s="37"/>
      <c r="M788" s="37"/>
      <c r="N788" s="37"/>
      <c r="O788" s="37"/>
      <c r="P788" s="37"/>
      <c r="Q788" s="37"/>
      <c r="R788" s="37"/>
      <c r="S788" s="37"/>
      <c r="T788" s="37"/>
      <c r="U788" s="37"/>
    </row>
    <row r="789" spans="1:21" ht="15.75" customHeight="1" x14ac:dyDescent="0.2">
      <c r="A789" s="37"/>
      <c r="B789" s="37"/>
      <c r="C789" s="20"/>
      <c r="D789" s="20"/>
      <c r="E789" s="20"/>
      <c r="F789" s="20"/>
      <c r="G789" s="20"/>
      <c r="H789" s="37"/>
      <c r="I789" s="37"/>
      <c r="J789" s="37"/>
      <c r="K789" s="37"/>
      <c r="L789" s="37"/>
      <c r="M789" s="37"/>
      <c r="N789" s="37"/>
      <c r="O789" s="37"/>
      <c r="P789" s="37"/>
      <c r="Q789" s="37"/>
      <c r="R789" s="37"/>
      <c r="S789" s="37"/>
      <c r="T789" s="37"/>
      <c r="U789" s="37"/>
    </row>
    <row r="790" spans="1:21" ht="15.75" customHeight="1" x14ac:dyDescent="0.2">
      <c r="A790" s="37"/>
      <c r="B790" s="37"/>
      <c r="C790" s="20"/>
      <c r="D790" s="20"/>
      <c r="E790" s="20"/>
      <c r="F790" s="20"/>
      <c r="G790" s="20"/>
      <c r="H790" s="37"/>
      <c r="I790" s="37"/>
      <c r="J790" s="37"/>
      <c r="K790" s="37"/>
      <c r="L790" s="37"/>
      <c r="M790" s="37"/>
      <c r="N790" s="37"/>
      <c r="O790" s="37"/>
      <c r="P790" s="37"/>
      <c r="Q790" s="37"/>
      <c r="R790" s="37"/>
      <c r="S790" s="37"/>
      <c r="T790" s="37"/>
      <c r="U790" s="37"/>
    </row>
    <row r="791" spans="1:21" ht="15.75" customHeight="1" x14ac:dyDescent="0.2">
      <c r="A791" s="37"/>
      <c r="B791" s="37"/>
      <c r="C791" s="20"/>
      <c r="D791" s="20"/>
      <c r="E791" s="20"/>
      <c r="F791" s="20"/>
      <c r="G791" s="20"/>
      <c r="H791" s="37"/>
      <c r="I791" s="37"/>
      <c r="J791" s="37"/>
      <c r="K791" s="37"/>
      <c r="L791" s="37"/>
      <c r="M791" s="37"/>
      <c r="N791" s="37"/>
      <c r="O791" s="37"/>
      <c r="P791" s="37"/>
      <c r="Q791" s="37"/>
      <c r="R791" s="37"/>
      <c r="S791" s="37"/>
      <c r="T791" s="37"/>
      <c r="U791" s="37"/>
    </row>
    <row r="792" spans="1:21" ht="15.75" customHeight="1" x14ac:dyDescent="0.2">
      <c r="A792" s="37"/>
      <c r="B792" s="37"/>
      <c r="C792" s="20"/>
      <c r="D792" s="20"/>
      <c r="E792" s="20"/>
      <c r="F792" s="20"/>
      <c r="G792" s="20"/>
      <c r="H792" s="37"/>
      <c r="I792" s="37"/>
      <c r="J792" s="37"/>
      <c r="K792" s="37"/>
      <c r="L792" s="37"/>
      <c r="M792" s="37"/>
      <c r="N792" s="37"/>
      <c r="O792" s="37"/>
      <c r="P792" s="37"/>
      <c r="Q792" s="37"/>
      <c r="R792" s="37"/>
      <c r="S792" s="37"/>
      <c r="T792" s="37"/>
      <c r="U792" s="37"/>
    </row>
    <row r="793" spans="1:21" ht="15.75" customHeight="1" x14ac:dyDescent="0.2">
      <c r="A793" s="37"/>
      <c r="B793" s="37"/>
      <c r="C793" s="20"/>
      <c r="D793" s="20"/>
      <c r="E793" s="20"/>
      <c r="F793" s="20"/>
      <c r="G793" s="20"/>
      <c r="H793" s="37"/>
      <c r="I793" s="37"/>
      <c r="J793" s="37"/>
      <c r="K793" s="37"/>
      <c r="L793" s="37"/>
      <c r="M793" s="37"/>
      <c r="N793" s="37"/>
      <c r="O793" s="37"/>
      <c r="P793" s="37"/>
      <c r="Q793" s="37"/>
      <c r="R793" s="37"/>
      <c r="S793" s="37"/>
      <c r="T793" s="37"/>
      <c r="U793" s="37"/>
    </row>
    <row r="794" spans="1:21" ht="15.75" customHeight="1" x14ac:dyDescent="0.2">
      <c r="A794" s="37"/>
      <c r="B794" s="37"/>
      <c r="C794" s="20"/>
      <c r="D794" s="20"/>
      <c r="E794" s="20"/>
      <c r="F794" s="20"/>
      <c r="G794" s="20"/>
      <c r="H794" s="37"/>
      <c r="I794" s="37"/>
      <c r="J794" s="37"/>
      <c r="K794" s="37"/>
      <c r="L794" s="37"/>
      <c r="M794" s="37"/>
      <c r="N794" s="37"/>
      <c r="O794" s="37"/>
      <c r="P794" s="37"/>
      <c r="Q794" s="37"/>
      <c r="R794" s="37"/>
      <c r="S794" s="37"/>
      <c r="T794" s="37"/>
      <c r="U794" s="37"/>
    </row>
    <row r="795" spans="1:21" ht="15.75" customHeight="1" x14ac:dyDescent="0.2">
      <c r="A795" s="37"/>
      <c r="B795" s="37"/>
      <c r="C795" s="20"/>
      <c r="D795" s="20"/>
      <c r="E795" s="20"/>
      <c r="F795" s="20"/>
      <c r="G795" s="20"/>
      <c r="H795" s="37"/>
      <c r="I795" s="37"/>
      <c r="J795" s="37"/>
      <c r="K795" s="37"/>
      <c r="L795" s="37"/>
      <c r="M795" s="37"/>
      <c r="N795" s="37"/>
      <c r="O795" s="37"/>
      <c r="P795" s="37"/>
      <c r="Q795" s="37"/>
      <c r="R795" s="37"/>
      <c r="S795" s="37"/>
      <c r="T795" s="37"/>
      <c r="U795" s="37"/>
    </row>
    <row r="796" spans="1:21" ht="15.75" customHeight="1" x14ac:dyDescent="0.2">
      <c r="A796" s="37"/>
      <c r="B796" s="37"/>
      <c r="C796" s="20"/>
      <c r="D796" s="20"/>
      <c r="E796" s="20"/>
      <c r="F796" s="20"/>
      <c r="G796" s="20"/>
      <c r="H796" s="37"/>
      <c r="I796" s="37"/>
      <c r="J796" s="37"/>
      <c r="K796" s="37"/>
      <c r="L796" s="37"/>
      <c r="M796" s="37"/>
      <c r="N796" s="37"/>
      <c r="O796" s="37"/>
      <c r="P796" s="37"/>
      <c r="Q796" s="37"/>
      <c r="R796" s="37"/>
      <c r="S796" s="37"/>
      <c r="T796" s="37"/>
      <c r="U796" s="37"/>
    </row>
    <row r="797" spans="1:21" ht="15.75" customHeight="1" x14ac:dyDescent="0.2">
      <c r="A797" s="37"/>
      <c r="B797" s="37"/>
      <c r="C797" s="20"/>
      <c r="D797" s="20"/>
      <c r="E797" s="20"/>
      <c r="F797" s="20"/>
      <c r="G797" s="20"/>
      <c r="H797" s="37"/>
      <c r="I797" s="37"/>
      <c r="J797" s="37"/>
      <c r="K797" s="37"/>
      <c r="L797" s="37"/>
      <c r="M797" s="37"/>
      <c r="N797" s="37"/>
      <c r="O797" s="37"/>
      <c r="P797" s="37"/>
      <c r="Q797" s="37"/>
      <c r="R797" s="37"/>
      <c r="S797" s="37"/>
      <c r="T797" s="37"/>
      <c r="U797" s="37"/>
    </row>
    <row r="798" spans="1:21" ht="15.75" customHeight="1" x14ac:dyDescent="0.2">
      <c r="A798" s="37"/>
      <c r="B798" s="37"/>
      <c r="C798" s="20"/>
      <c r="D798" s="20"/>
      <c r="E798" s="20"/>
      <c r="F798" s="20"/>
      <c r="G798" s="20"/>
      <c r="H798" s="37"/>
      <c r="I798" s="37"/>
      <c r="J798" s="37"/>
      <c r="K798" s="37"/>
      <c r="L798" s="37"/>
      <c r="M798" s="37"/>
      <c r="N798" s="37"/>
      <c r="O798" s="37"/>
      <c r="P798" s="37"/>
      <c r="Q798" s="37"/>
      <c r="R798" s="37"/>
      <c r="S798" s="37"/>
      <c r="T798" s="37"/>
      <c r="U798" s="37"/>
    </row>
    <row r="799" spans="1:21" ht="15.75" customHeight="1" x14ac:dyDescent="0.2">
      <c r="A799" s="37"/>
      <c r="B799" s="37"/>
      <c r="C799" s="20"/>
      <c r="D799" s="20"/>
      <c r="E799" s="20"/>
      <c r="F799" s="20"/>
      <c r="G799" s="20"/>
      <c r="H799" s="37"/>
      <c r="I799" s="37"/>
      <c r="J799" s="37"/>
      <c r="K799" s="37"/>
      <c r="L799" s="37"/>
      <c r="M799" s="37"/>
      <c r="N799" s="37"/>
      <c r="O799" s="37"/>
      <c r="P799" s="37"/>
      <c r="Q799" s="37"/>
      <c r="R799" s="37"/>
      <c r="S799" s="37"/>
      <c r="T799" s="37"/>
      <c r="U799" s="37"/>
    </row>
    <row r="800" spans="1:21" ht="15.75" customHeight="1" x14ac:dyDescent="0.2">
      <c r="A800" s="37"/>
      <c r="B800" s="37"/>
      <c r="C800" s="20"/>
      <c r="D800" s="20"/>
      <c r="E800" s="20"/>
      <c r="F800" s="20"/>
      <c r="G800" s="20"/>
      <c r="H800" s="37"/>
      <c r="I800" s="37"/>
      <c r="J800" s="37"/>
      <c r="K800" s="37"/>
      <c r="L800" s="37"/>
      <c r="M800" s="37"/>
      <c r="N800" s="37"/>
      <c r="O800" s="37"/>
      <c r="P800" s="37"/>
      <c r="Q800" s="37"/>
      <c r="R800" s="37"/>
      <c r="S800" s="37"/>
      <c r="T800" s="37"/>
      <c r="U800" s="37"/>
    </row>
    <row r="801" spans="1:21" ht="15.75" customHeight="1" x14ac:dyDescent="0.2">
      <c r="A801" s="37"/>
      <c r="B801" s="37"/>
      <c r="C801" s="20"/>
      <c r="D801" s="20"/>
      <c r="E801" s="20"/>
      <c r="F801" s="20"/>
      <c r="G801" s="20"/>
      <c r="H801" s="37"/>
      <c r="I801" s="37"/>
      <c r="J801" s="37"/>
      <c r="K801" s="37"/>
      <c r="L801" s="37"/>
      <c r="M801" s="37"/>
      <c r="N801" s="37"/>
      <c r="O801" s="37"/>
      <c r="P801" s="37"/>
      <c r="Q801" s="37"/>
      <c r="R801" s="37"/>
      <c r="S801" s="37"/>
      <c r="T801" s="37"/>
      <c r="U801" s="37"/>
    </row>
    <row r="802" spans="1:21" ht="15.75" customHeight="1" x14ac:dyDescent="0.2">
      <c r="A802" s="37"/>
      <c r="B802" s="37"/>
      <c r="C802" s="20"/>
      <c r="D802" s="20"/>
      <c r="E802" s="20"/>
      <c r="F802" s="20"/>
      <c r="G802" s="20"/>
      <c r="H802" s="37"/>
      <c r="I802" s="37"/>
      <c r="J802" s="37"/>
      <c r="K802" s="37"/>
      <c r="L802" s="37"/>
      <c r="M802" s="37"/>
      <c r="N802" s="37"/>
      <c r="O802" s="37"/>
      <c r="P802" s="37"/>
      <c r="Q802" s="37"/>
      <c r="R802" s="37"/>
      <c r="S802" s="37"/>
      <c r="T802" s="37"/>
      <c r="U802" s="37"/>
    </row>
    <row r="803" spans="1:21" ht="15.75" customHeight="1" x14ac:dyDescent="0.2">
      <c r="A803" s="37"/>
      <c r="B803" s="37"/>
      <c r="C803" s="20"/>
      <c r="D803" s="20"/>
      <c r="E803" s="20"/>
      <c r="F803" s="20"/>
      <c r="G803" s="20"/>
      <c r="H803" s="37"/>
      <c r="I803" s="37"/>
      <c r="J803" s="37"/>
      <c r="K803" s="37"/>
      <c r="L803" s="37"/>
      <c r="M803" s="37"/>
      <c r="N803" s="37"/>
      <c r="O803" s="37"/>
      <c r="P803" s="37"/>
      <c r="Q803" s="37"/>
      <c r="R803" s="37"/>
      <c r="S803" s="37"/>
      <c r="T803" s="37"/>
      <c r="U803" s="37"/>
    </row>
    <row r="804" spans="1:21" ht="15.75" customHeight="1" x14ac:dyDescent="0.2">
      <c r="A804" s="37"/>
      <c r="B804" s="37"/>
      <c r="C804" s="20"/>
      <c r="D804" s="20"/>
      <c r="E804" s="20"/>
      <c r="F804" s="20"/>
      <c r="G804" s="20"/>
      <c r="H804" s="37"/>
      <c r="I804" s="37"/>
      <c r="J804" s="37"/>
      <c r="K804" s="37"/>
      <c r="L804" s="37"/>
      <c r="M804" s="37"/>
      <c r="N804" s="37"/>
      <c r="O804" s="37"/>
      <c r="P804" s="37"/>
      <c r="Q804" s="37"/>
      <c r="R804" s="37"/>
      <c r="S804" s="37"/>
      <c r="T804" s="37"/>
      <c r="U804" s="37"/>
    </row>
    <row r="805" spans="1:21" ht="15.75" customHeight="1" x14ac:dyDescent="0.2">
      <c r="A805" s="37"/>
      <c r="B805" s="37"/>
      <c r="C805" s="20"/>
      <c r="D805" s="20"/>
      <c r="E805" s="20"/>
      <c r="F805" s="20"/>
      <c r="G805" s="20"/>
      <c r="H805" s="37"/>
      <c r="I805" s="37"/>
      <c r="J805" s="37"/>
      <c r="K805" s="37"/>
      <c r="L805" s="37"/>
      <c r="M805" s="37"/>
      <c r="N805" s="37"/>
      <c r="O805" s="37"/>
      <c r="P805" s="37"/>
      <c r="Q805" s="37"/>
      <c r="R805" s="37"/>
      <c r="S805" s="37"/>
      <c r="T805" s="37"/>
      <c r="U805" s="37"/>
    </row>
    <row r="806" spans="1:21" ht="15.75" customHeight="1" x14ac:dyDescent="0.2">
      <c r="A806" s="37"/>
      <c r="B806" s="37"/>
      <c r="C806" s="20"/>
      <c r="D806" s="20"/>
      <c r="E806" s="20"/>
      <c r="F806" s="20"/>
      <c r="G806" s="20"/>
      <c r="H806" s="37"/>
      <c r="I806" s="37"/>
      <c r="J806" s="37"/>
      <c r="K806" s="37"/>
      <c r="L806" s="37"/>
      <c r="M806" s="37"/>
      <c r="N806" s="37"/>
      <c r="O806" s="37"/>
      <c r="P806" s="37"/>
      <c r="Q806" s="37"/>
      <c r="R806" s="37"/>
      <c r="S806" s="37"/>
      <c r="T806" s="37"/>
      <c r="U806" s="37"/>
    </row>
    <row r="807" spans="1:21" ht="15.75" customHeight="1" x14ac:dyDescent="0.2">
      <c r="A807" s="37"/>
      <c r="B807" s="37"/>
      <c r="C807" s="20"/>
      <c r="D807" s="20"/>
      <c r="E807" s="20"/>
      <c r="F807" s="20"/>
      <c r="G807" s="20"/>
      <c r="H807" s="37"/>
      <c r="I807" s="37"/>
      <c r="J807" s="37"/>
      <c r="K807" s="37"/>
      <c r="L807" s="37"/>
      <c r="M807" s="37"/>
      <c r="N807" s="37"/>
      <c r="O807" s="37"/>
      <c r="P807" s="37"/>
      <c r="Q807" s="37"/>
      <c r="R807" s="37"/>
      <c r="S807" s="37"/>
      <c r="T807" s="37"/>
      <c r="U807" s="37"/>
    </row>
    <row r="808" spans="1:21" ht="15.75" customHeight="1" x14ac:dyDescent="0.2">
      <c r="A808" s="37"/>
      <c r="B808" s="37"/>
      <c r="C808" s="20"/>
      <c r="D808" s="20"/>
      <c r="E808" s="20"/>
      <c r="F808" s="20"/>
      <c r="G808" s="20"/>
      <c r="H808" s="37"/>
      <c r="I808" s="37"/>
      <c r="J808" s="37"/>
      <c r="K808" s="37"/>
      <c r="L808" s="37"/>
      <c r="M808" s="37"/>
      <c r="N808" s="37"/>
      <c r="O808" s="37"/>
      <c r="P808" s="37"/>
      <c r="Q808" s="37"/>
      <c r="R808" s="37"/>
      <c r="S808" s="37"/>
      <c r="T808" s="37"/>
      <c r="U808" s="37"/>
    </row>
    <row r="809" spans="1:21" ht="15.75" customHeight="1" x14ac:dyDescent="0.2">
      <c r="A809" s="37"/>
      <c r="B809" s="37"/>
      <c r="C809" s="20"/>
      <c r="D809" s="20"/>
      <c r="E809" s="20"/>
      <c r="F809" s="20"/>
      <c r="G809" s="20"/>
      <c r="H809" s="37"/>
      <c r="I809" s="37"/>
      <c r="J809" s="37"/>
      <c r="K809" s="37"/>
      <c r="L809" s="37"/>
      <c r="M809" s="37"/>
      <c r="N809" s="37"/>
      <c r="O809" s="37"/>
      <c r="P809" s="37"/>
      <c r="Q809" s="37"/>
      <c r="R809" s="37"/>
      <c r="S809" s="37"/>
      <c r="T809" s="37"/>
      <c r="U809" s="37"/>
    </row>
    <row r="810" spans="1:21" ht="15.75" customHeight="1" x14ac:dyDescent="0.2">
      <c r="A810" s="37"/>
      <c r="B810" s="37"/>
      <c r="C810" s="20"/>
      <c r="D810" s="20"/>
      <c r="E810" s="20"/>
      <c r="F810" s="20"/>
      <c r="G810" s="20"/>
      <c r="H810" s="37"/>
      <c r="I810" s="37"/>
      <c r="J810" s="37"/>
      <c r="K810" s="37"/>
      <c r="L810" s="37"/>
      <c r="M810" s="37"/>
      <c r="N810" s="37"/>
      <c r="O810" s="37"/>
      <c r="P810" s="37"/>
      <c r="Q810" s="37"/>
      <c r="R810" s="37"/>
      <c r="S810" s="37"/>
      <c r="T810" s="37"/>
      <c r="U810" s="37"/>
    </row>
    <row r="811" spans="1:21" ht="15.75" customHeight="1" x14ac:dyDescent="0.2">
      <c r="A811" s="37"/>
      <c r="B811" s="37"/>
      <c r="C811" s="20"/>
      <c r="D811" s="20"/>
      <c r="E811" s="20"/>
      <c r="F811" s="20"/>
      <c r="G811" s="20"/>
      <c r="H811" s="37"/>
      <c r="I811" s="37"/>
      <c r="J811" s="37"/>
      <c r="K811" s="37"/>
      <c r="L811" s="37"/>
      <c r="M811" s="37"/>
      <c r="N811" s="37"/>
      <c r="O811" s="37"/>
      <c r="P811" s="37"/>
      <c r="Q811" s="37"/>
      <c r="R811" s="37"/>
      <c r="S811" s="37"/>
      <c r="T811" s="37"/>
      <c r="U811" s="37"/>
    </row>
    <row r="812" spans="1:21" ht="15.75" customHeight="1" x14ac:dyDescent="0.2">
      <c r="A812" s="37"/>
      <c r="B812" s="37"/>
      <c r="C812" s="20"/>
      <c r="D812" s="20"/>
      <c r="E812" s="20"/>
      <c r="F812" s="20"/>
      <c r="G812" s="20"/>
      <c r="H812" s="37"/>
      <c r="I812" s="37"/>
      <c r="J812" s="37"/>
      <c r="K812" s="37"/>
      <c r="L812" s="37"/>
      <c r="M812" s="37"/>
      <c r="N812" s="37"/>
      <c r="O812" s="37"/>
      <c r="P812" s="37"/>
      <c r="Q812" s="37"/>
      <c r="R812" s="37"/>
      <c r="S812" s="37"/>
      <c r="T812" s="37"/>
      <c r="U812" s="37"/>
    </row>
    <row r="813" spans="1:21" ht="15.75" customHeight="1" x14ac:dyDescent="0.2">
      <c r="A813" s="37"/>
      <c r="B813" s="37"/>
      <c r="C813" s="20"/>
      <c r="D813" s="20"/>
      <c r="E813" s="20"/>
      <c r="F813" s="20"/>
      <c r="G813" s="20"/>
      <c r="H813" s="37"/>
      <c r="I813" s="37"/>
      <c r="J813" s="37"/>
      <c r="K813" s="37"/>
      <c r="L813" s="37"/>
      <c r="M813" s="37"/>
      <c r="N813" s="37"/>
      <c r="O813" s="37"/>
      <c r="P813" s="37"/>
      <c r="Q813" s="37"/>
      <c r="R813" s="37"/>
      <c r="S813" s="37"/>
      <c r="T813" s="37"/>
      <c r="U813" s="37"/>
    </row>
    <row r="814" spans="1:21" ht="15.75" customHeight="1" x14ac:dyDescent="0.2">
      <c r="A814" s="37"/>
      <c r="B814" s="37"/>
      <c r="C814" s="20"/>
      <c r="D814" s="20"/>
      <c r="E814" s="20"/>
      <c r="F814" s="20"/>
      <c r="G814" s="20"/>
      <c r="H814" s="37"/>
      <c r="I814" s="37"/>
      <c r="J814" s="37"/>
      <c r="K814" s="37"/>
      <c r="L814" s="37"/>
      <c r="M814" s="37"/>
      <c r="N814" s="37"/>
      <c r="O814" s="37"/>
      <c r="P814" s="37"/>
      <c r="Q814" s="37"/>
      <c r="R814" s="37"/>
      <c r="S814" s="37"/>
      <c r="T814" s="37"/>
      <c r="U814" s="37"/>
    </row>
    <row r="815" spans="1:21" ht="15.75" customHeight="1" x14ac:dyDescent="0.2">
      <c r="A815" s="37"/>
      <c r="B815" s="37"/>
      <c r="C815" s="20"/>
      <c r="D815" s="20"/>
      <c r="E815" s="20"/>
      <c r="F815" s="20"/>
      <c r="G815" s="20"/>
      <c r="H815" s="37"/>
      <c r="I815" s="37"/>
      <c r="J815" s="37"/>
      <c r="K815" s="37"/>
      <c r="L815" s="37"/>
      <c r="M815" s="37"/>
      <c r="N815" s="37"/>
      <c r="O815" s="37"/>
      <c r="P815" s="37"/>
      <c r="Q815" s="37"/>
      <c r="R815" s="37"/>
      <c r="S815" s="37"/>
      <c r="T815" s="37"/>
      <c r="U815" s="37"/>
    </row>
    <row r="816" spans="1:21" ht="15.75" customHeight="1" x14ac:dyDescent="0.2">
      <c r="A816" s="37"/>
      <c r="B816" s="37"/>
      <c r="C816" s="20"/>
      <c r="D816" s="20"/>
      <c r="E816" s="20"/>
      <c r="F816" s="20"/>
      <c r="G816" s="20"/>
      <c r="H816" s="37"/>
      <c r="I816" s="37"/>
      <c r="J816" s="37"/>
      <c r="K816" s="37"/>
      <c r="L816" s="37"/>
      <c r="M816" s="37"/>
      <c r="N816" s="37"/>
      <c r="O816" s="37"/>
      <c r="P816" s="37"/>
      <c r="Q816" s="37"/>
      <c r="R816" s="37"/>
      <c r="S816" s="37"/>
      <c r="T816" s="37"/>
      <c r="U816" s="37"/>
    </row>
    <row r="817" spans="1:21" ht="15.75" customHeight="1" x14ac:dyDescent="0.2">
      <c r="A817" s="37"/>
      <c r="B817" s="37"/>
      <c r="C817" s="20"/>
      <c r="D817" s="20"/>
      <c r="E817" s="20"/>
      <c r="F817" s="20"/>
      <c r="G817" s="20"/>
      <c r="H817" s="37"/>
      <c r="I817" s="37"/>
      <c r="J817" s="37"/>
      <c r="K817" s="37"/>
      <c r="L817" s="37"/>
      <c r="M817" s="37"/>
      <c r="N817" s="37"/>
      <c r="O817" s="37"/>
      <c r="P817" s="37"/>
      <c r="Q817" s="37"/>
      <c r="R817" s="37"/>
      <c r="S817" s="37"/>
      <c r="T817" s="37"/>
      <c r="U817" s="37"/>
    </row>
    <row r="818" spans="1:21" ht="15.75" customHeight="1" x14ac:dyDescent="0.2">
      <c r="A818" s="37"/>
      <c r="B818" s="37"/>
      <c r="C818" s="20"/>
      <c r="D818" s="20"/>
      <c r="E818" s="20"/>
      <c r="F818" s="20"/>
      <c r="G818" s="20"/>
      <c r="H818" s="37"/>
      <c r="I818" s="37"/>
      <c r="J818" s="37"/>
      <c r="K818" s="37"/>
      <c r="L818" s="37"/>
      <c r="M818" s="37"/>
      <c r="N818" s="37"/>
      <c r="O818" s="37"/>
      <c r="P818" s="37"/>
      <c r="Q818" s="37"/>
      <c r="R818" s="37"/>
      <c r="S818" s="37"/>
      <c r="T818" s="37"/>
      <c r="U818" s="37"/>
    </row>
    <row r="819" spans="1:21" ht="15.75" customHeight="1" x14ac:dyDescent="0.2">
      <c r="A819" s="37"/>
      <c r="B819" s="37"/>
      <c r="C819" s="20"/>
      <c r="D819" s="20"/>
      <c r="E819" s="20"/>
      <c r="F819" s="20"/>
      <c r="G819" s="20"/>
      <c r="H819" s="37"/>
      <c r="I819" s="37"/>
      <c r="J819" s="37"/>
      <c r="K819" s="37"/>
      <c r="L819" s="37"/>
      <c r="M819" s="37"/>
      <c r="N819" s="37"/>
      <c r="O819" s="37"/>
      <c r="P819" s="37"/>
      <c r="Q819" s="37"/>
      <c r="R819" s="37"/>
      <c r="S819" s="37"/>
      <c r="T819" s="37"/>
      <c r="U819" s="37"/>
    </row>
    <row r="820" spans="1:21" ht="15.75" customHeight="1" x14ac:dyDescent="0.2">
      <c r="A820" s="37"/>
      <c r="B820" s="37"/>
      <c r="C820" s="20"/>
      <c r="D820" s="20"/>
      <c r="E820" s="20"/>
      <c r="F820" s="20"/>
      <c r="G820" s="20"/>
      <c r="H820" s="37"/>
      <c r="I820" s="37"/>
      <c r="J820" s="37"/>
      <c r="K820" s="37"/>
      <c r="L820" s="37"/>
      <c r="M820" s="37"/>
      <c r="N820" s="37"/>
      <c r="O820" s="37"/>
      <c r="P820" s="37"/>
      <c r="Q820" s="37"/>
      <c r="R820" s="37"/>
      <c r="S820" s="37"/>
      <c r="T820" s="37"/>
      <c r="U820" s="37"/>
    </row>
    <row r="821" spans="1:21" ht="15.75" customHeight="1" x14ac:dyDescent="0.2">
      <c r="A821" s="37"/>
      <c r="B821" s="37"/>
      <c r="C821" s="20"/>
      <c r="D821" s="20"/>
      <c r="E821" s="20"/>
      <c r="F821" s="20"/>
      <c r="G821" s="20"/>
      <c r="H821" s="37"/>
      <c r="I821" s="37"/>
      <c r="J821" s="37"/>
      <c r="K821" s="37"/>
      <c r="L821" s="37"/>
      <c r="M821" s="37"/>
      <c r="N821" s="37"/>
      <c r="O821" s="37"/>
      <c r="P821" s="37"/>
      <c r="Q821" s="37"/>
      <c r="R821" s="37"/>
      <c r="S821" s="37"/>
      <c r="T821" s="37"/>
      <c r="U821" s="37"/>
    </row>
    <row r="822" spans="1:21" ht="15.75" customHeight="1" x14ac:dyDescent="0.2">
      <c r="A822" s="37"/>
      <c r="B822" s="37"/>
      <c r="C822" s="20"/>
      <c r="D822" s="20"/>
      <c r="E822" s="20"/>
      <c r="F822" s="20"/>
      <c r="G822" s="20"/>
      <c r="H822" s="37"/>
      <c r="I822" s="37"/>
      <c r="J822" s="37"/>
      <c r="K822" s="37"/>
      <c r="L822" s="37"/>
      <c r="M822" s="37"/>
      <c r="N822" s="37"/>
      <c r="O822" s="37"/>
      <c r="P822" s="37"/>
      <c r="Q822" s="37"/>
      <c r="R822" s="37"/>
      <c r="S822" s="37"/>
      <c r="T822" s="37"/>
      <c r="U822" s="37"/>
    </row>
    <row r="823" spans="1:21" ht="15.75" customHeight="1" x14ac:dyDescent="0.2">
      <c r="A823" s="37"/>
      <c r="B823" s="37"/>
      <c r="C823" s="20"/>
      <c r="D823" s="20"/>
      <c r="E823" s="20"/>
      <c r="F823" s="20"/>
      <c r="G823" s="20"/>
      <c r="H823" s="37"/>
      <c r="I823" s="37"/>
      <c r="J823" s="37"/>
      <c r="K823" s="37"/>
      <c r="L823" s="37"/>
      <c r="M823" s="37"/>
      <c r="N823" s="37"/>
      <c r="O823" s="37"/>
      <c r="P823" s="37"/>
      <c r="Q823" s="37"/>
      <c r="R823" s="37"/>
      <c r="S823" s="37"/>
      <c r="T823" s="37"/>
      <c r="U823" s="37"/>
    </row>
    <row r="824" spans="1:21" ht="15.75" customHeight="1" x14ac:dyDescent="0.2">
      <c r="A824" s="37"/>
      <c r="B824" s="37"/>
      <c r="C824" s="20"/>
      <c r="D824" s="20"/>
      <c r="E824" s="20"/>
      <c r="F824" s="20"/>
      <c r="G824" s="20"/>
      <c r="H824" s="37"/>
      <c r="I824" s="37"/>
      <c r="J824" s="37"/>
      <c r="K824" s="37"/>
      <c r="L824" s="37"/>
      <c r="M824" s="37"/>
      <c r="N824" s="37"/>
      <c r="O824" s="37"/>
      <c r="P824" s="37"/>
      <c r="Q824" s="37"/>
      <c r="R824" s="37"/>
      <c r="S824" s="37"/>
      <c r="T824" s="37"/>
      <c r="U824" s="37"/>
    </row>
    <row r="825" spans="1:21" ht="15.75" customHeight="1" x14ac:dyDescent="0.2">
      <c r="A825" s="37"/>
      <c r="B825" s="37"/>
      <c r="C825" s="20"/>
      <c r="D825" s="20"/>
      <c r="E825" s="20"/>
      <c r="F825" s="20"/>
      <c r="G825" s="20"/>
      <c r="H825" s="37"/>
      <c r="I825" s="37"/>
      <c r="J825" s="37"/>
      <c r="K825" s="37"/>
      <c r="L825" s="37"/>
      <c r="M825" s="37"/>
      <c r="N825" s="37"/>
      <c r="O825" s="37"/>
      <c r="P825" s="37"/>
      <c r="Q825" s="37"/>
      <c r="R825" s="37"/>
      <c r="S825" s="37"/>
      <c r="T825" s="37"/>
      <c r="U825" s="37"/>
    </row>
    <row r="826" spans="1:21" ht="15.75" customHeight="1" x14ac:dyDescent="0.2">
      <c r="A826" s="37"/>
      <c r="B826" s="37"/>
      <c r="C826" s="20"/>
      <c r="D826" s="20"/>
      <c r="E826" s="20"/>
      <c r="F826" s="20"/>
      <c r="G826" s="20"/>
      <c r="H826" s="37"/>
      <c r="I826" s="37"/>
      <c r="J826" s="37"/>
      <c r="K826" s="37"/>
      <c r="L826" s="37"/>
      <c r="M826" s="37"/>
      <c r="N826" s="37"/>
      <c r="O826" s="37"/>
      <c r="P826" s="37"/>
      <c r="Q826" s="37"/>
      <c r="R826" s="37"/>
      <c r="S826" s="37"/>
      <c r="T826" s="37"/>
      <c r="U826" s="37"/>
    </row>
    <row r="827" spans="1:21" ht="15.75" customHeight="1" x14ac:dyDescent="0.2">
      <c r="A827" s="37"/>
      <c r="B827" s="37"/>
      <c r="C827" s="20"/>
      <c r="D827" s="20"/>
      <c r="E827" s="20"/>
      <c r="F827" s="20"/>
      <c r="G827" s="20"/>
      <c r="H827" s="37"/>
      <c r="I827" s="37"/>
      <c r="J827" s="37"/>
      <c r="K827" s="37"/>
      <c r="L827" s="37"/>
      <c r="M827" s="37"/>
      <c r="N827" s="37"/>
      <c r="O827" s="37"/>
      <c r="P827" s="37"/>
      <c r="Q827" s="37"/>
      <c r="R827" s="37"/>
      <c r="S827" s="37"/>
      <c r="T827" s="37"/>
      <c r="U827" s="37"/>
    </row>
    <row r="828" spans="1:21" ht="15.75" customHeight="1" x14ac:dyDescent="0.2">
      <c r="A828" s="37"/>
      <c r="B828" s="37"/>
      <c r="C828" s="20"/>
      <c r="D828" s="20"/>
      <c r="E828" s="20"/>
      <c r="F828" s="20"/>
      <c r="G828" s="20"/>
      <c r="H828" s="37"/>
      <c r="I828" s="37"/>
      <c r="J828" s="37"/>
      <c r="K828" s="37"/>
      <c r="L828" s="37"/>
      <c r="M828" s="37"/>
      <c r="N828" s="37"/>
      <c r="O828" s="37"/>
      <c r="P828" s="37"/>
      <c r="Q828" s="37"/>
      <c r="R828" s="37"/>
      <c r="S828" s="37"/>
      <c r="T828" s="37"/>
      <c r="U828" s="37"/>
    </row>
    <row r="829" spans="1:21" ht="15.75" customHeight="1" x14ac:dyDescent="0.2">
      <c r="A829" s="37"/>
      <c r="B829" s="37"/>
      <c r="C829" s="20"/>
      <c r="D829" s="20"/>
      <c r="E829" s="20"/>
      <c r="F829" s="20"/>
      <c r="G829" s="20"/>
      <c r="H829" s="37"/>
      <c r="I829" s="37"/>
      <c r="J829" s="37"/>
      <c r="K829" s="37"/>
      <c r="L829" s="37"/>
      <c r="M829" s="37"/>
      <c r="N829" s="37"/>
      <c r="O829" s="37"/>
      <c r="P829" s="37"/>
      <c r="Q829" s="37"/>
      <c r="R829" s="37"/>
      <c r="S829" s="37"/>
      <c r="T829" s="37"/>
      <c r="U829" s="37"/>
    </row>
    <row r="830" spans="1:21" ht="15.75" customHeight="1" x14ac:dyDescent="0.2">
      <c r="A830" s="37"/>
      <c r="B830" s="37"/>
      <c r="C830" s="20"/>
      <c r="D830" s="20"/>
      <c r="E830" s="20"/>
      <c r="F830" s="20"/>
      <c r="G830" s="20"/>
      <c r="H830" s="37"/>
      <c r="I830" s="37"/>
      <c r="J830" s="37"/>
      <c r="K830" s="37"/>
      <c r="L830" s="37"/>
      <c r="M830" s="37"/>
      <c r="N830" s="37"/>
      <c r="O830" s="37"/>
      <c r="P830" s="37"/>
      <c r="Q830" s="37"/>
      <c r="R830" s="37"/>
      <c r="S830" s="37"/>
      <c r="T830" s="37"/>
      <c r="U830" s="37"/>
    </row>
    <row r="831" spans="1:21" ht="15.75" customHeight="1" x14ac:dyDescent="0.2">
      <c r="A831" s="37"/>
      <c r="B831" s="37"/>
      <c r="C831" s="20"/>
      <c r="D831" s="20"/>
      <c r="E831" s="20"/>
      <c r="F831" s="20"/>
      <c r="G831" s="20"/>
      <c r="H831" s="37"/>
      <c r="I831" s="37"/>
      <c r="J831" s="37"/>
      <c r="K831" s="37"/>
      <c r="L831" s="37"/>
      <c r="M831" s="37"/>
      <c r="N831" s="37"/>
      <c r="O831" s="37"/>
      <c r="P831" s="37"/>
      <c r="Q831" s="37"/>
      <c r="R831" s="37"/>
      <c r="S831" s="37"/>
      <c r="T831" s="37"/>
      <c r="U831" s="37"/>
    </row>
    <row r="832" spans="1:21" ht="15.75" customHeight="1" x14ac:dyDescent="0.2">
      <c r="A832" s="37"/>
      <c r="B832" s="37"/>
      <c r="C832" s="20"/>
      <c r="D832" s="20"/>
      <c r="E832" s="20"/>
      <c r="F832" s="20"/>
      <c r="G832" s="20"/>
      <c r="H832" s="37"/>
      <c r="I832" s="37"/>
      <c r="J832" s="37"/>
      <c r="K832" s="37"/>
      <c r="L832" s="37"/>
      <c r="M832" s="37"/>
      <c r="N832" s="37"/>
      <c r="O832" s="37"/>
      <c r="P832" s="37"/>
      <c r="Q832" s="37"/>
      <c r="R832" s="37"/>
      <c r="S832" s="37"/>
      <c r="T832" s="37"/>
      <c r="U832" s="37"/>
    </row>
    <row r="833" spans="1:21" ht="15.75" customHeight="1" x14ac:dyDescent="0.2">
      <c r="A833" s="37"/>
      <c r="B833" s="37"/>
      <c r="C833" s="20"/>
      <c r="D833" s="20"/>
      <c r="E833" s="20"/>
      <c r="F833" s="20"/>
      <c r="G833" s="20"/>
      <c r="H833" s="37"/>
      <c r="I833" s="37"/>
      <c r="J833" s="37"/>
      <c r="K833" s="37"/>
      <c r="L833" s="37"/>
      <c r="M833" s="37"/>
      <c r="N833" s="37"/>
      <c r="O833" s="37"/>
      <c r="P833" s="37"/>
      <c r="Q833" s="37"/>
      <c r="R833" s="37"/>
      <c r="S833" s="37"/>
      <c r="T833" s="37"/>
      <c r="U833" s="37"/>
    </row>
    <row r="834" spans="1:21" ht="15.75" customHeight="1" x14ac:dyDescent="0.2">
      <c r="A834" s="37"/>
      <c r="B834" s="37"/>
      <c r="C834" s="20"/>
      <c r="D834" s="20"/>
      <c r="E834" s="20"/>
      <c r="F834" s="20"/>
      <c r="G834" s="20"/>
      <c r="H834" s="37"/>
      <c r="I834" s="37"/>
      <c r="J834" s="37"/>
      <c r="K834" s="37"/>
      <c r="L834" s="37"/>
      <c r="M834" s="37"/>
      <c r="N834" s="37"/>
      <c r="O834" s="37"/>
      <c r="P834" s="37"/>
      <c r="Q834" s="37"/>
      <c r="R834" s="37"/>
      <c r="S834" s="37"/>
      <c r="T834" s="37"/>
      <c r="U834" s="37"/>
    </row>
    <row r="835" spans="1:21" ht="15.75" customHeight="1" x14ac:dyDescent="0.2">
      <c r="A835" s="37"/>
      <c r="B835" s="37"/>
      <c r="C835" s="20"/>
      <c r="D835" s="20"/>
      <c r="E835" s="20"/>
      <c r="F835" s="20"/>
      <c r="G835" s="20"/>
      <c r="H835" s="37"/>
      <c r="I835" s="37"/>
      <c r="J835" s="37"/>
      <c r="K835" s="37"/>
      <c r="L835" s="37"/>
      <c r="M835" s="37"/>
      <c r="N835" s="37"/>
      <c r="O835" s="37"/>
      <c r="P835" s="37"/>
      <c r="Q835" s="37"/>
      <c r="R835" s="37"/>
      <c r="S835" s="37"/>
      <c r="T835" s="37"/>
      <c r="U835" s="37"/>
    </row>
    <row r="836" spans="1:21" ht="15.75" customHeight="1" x14ac:dyDescent="0.2">
      <c r="A836" s="37"/>
      <c r="B836" s="37"/>
      <c r="C836" s="20"/>
      <c r="D836" s="20"/>
      <c r="E836" s="20"/>
      <c r="F836" s="20"/>
      <c r="G836" s="20"/>
      <c r="H836" s="37"/>
      <c r="I836" s="37"/>
      <c r="J836" s="37"/>
      <c r="K836" s="37"/>
      <c r="L836" s="37"/>
      <c r="M836" s="37"/>
      <c r="N836" s="37"/>
      <c r="O836" s="37"/>
      <c r="P836" s="37"/>
      <c r="Q836" s="37"/>
      <c r="R836" s="37"/>
      <c r="S836" s="37"/>
      <c r="T836" s="37"/>
      <c r="U836" s="37"/>
    </row>
    <row r="837" spans="1:21" ht="15.75" customHeight="1" x14ac:dyDescent="0.2">
      <c r="A837" s="37"/>
      <c r="B837" s="37"/>
      <c r="C837" s="20"/>
      <c r="D837" s="20"/>
      <c r="E837" s="20"/>
      <c r="F837" s="20"/>
      <c r="G837" s="20"/>
      <c r="H837" s="37"/>
      <c r="I837" s="37"/>
      <c r="J837" s="37"/>
      <c r="K837" s="37"/>
      <c r="L837" s="37"/>
      <c r="M837" s="37"/>
      <c r="N837" s="37"/>
      <c r="O837" s="37"/>
      <c r="P837" s="37"/>
      <c r="Q837" s="37"/>
      <c r="R837" s="37"/>
      <c r="S837" s="37"/>
      <c r="T837" s="37"/>
      <c r="U837" s="37"/>
    </row>
    <row r="838" spans="1:21" ht="15.75" customHeight="1" x14ac:dyDescent="0.2">
      <c r="A838" s="37"/>
      <c r="B838" s="37"/>
      <c r="C838" s="20"/>
      <c r="D838" s="20"/>
      <c r="E838" s="20"/>
      <c r="F838" s="20"/>
      <c r="G838" s="20"/>
      <c r="H838" s="37"/>
      <c r="I838" s="37"/>
      <c r="J838" s="37"/>
      <c r="K838" s="37"/>
      <c r="L838" s="37"/>
      <c r="M838" s="37"/>
      <c r="N838" s="37"/>
      <c r="O838" s="37"/>
      <c r="P838" s="37"/>
      <c r="Q838" s="37"/>
      <c r="R838" s="37"/>
      <c r="S838" s="37"/>
      <c r="T838" s="37"/>
      <c r="U838" s="37"/>
    </row>
    <row r="839" spans="1:21" ht="15.75" customHeight="1" x14ac:dyDescent="0.2">
      <c r="A839" s="37"/>
      <c r="B839" s="37"/>
      <c r="C839" s="20"/>
      <c r="D839" s="20"/>
      <c r="E839" s="20"/>
      <c r="F839" s="20"/>
      <c r="G839" s="20"/>
      <c r="H839" s="37"/>
      <c r="I839" s="37"/>
      <c r="J839" s="37"/>
      <c r="K839" s="37"/>
      <c r="L839" s="37"/>
      <c r="M839" s="37"/>
      <c r="N839" s="37"/>
      <c r="O839" s="37"/>
      <c r="P839" s="37"/>
      <c r="Q839" s="37"/>
      <c r="R839" s="37"/>
      <c r="S839" s="37"/>
      <c r="T839" s="37"/>
      <c r="U839" s="37"/>
    </row>
    <row r="840" spans="1:21" ht="15.75" customHeight="1" x14ac:dyDescent="0.2">
      <c r="A840" s="37"/>
      <c r="B840" s="37"/>
      <c r="C840" s="20"/>
      <c r="D840" s="20"/>
      <c r="E840" s="20"/>
      <c r="F840" s="20"/>
      <c r="G840" s="20"/>
      <c r="H840" s="37"/>
      <c r="I840" s="37"/>
      <c r="J840" s="37"/>
      <c r="K840" s="37"/>
      <c r="L840" s="37"/>
      <c r="M840" s="37"/>
      <c r="N840" s="37"/>
      <c r="O840" s="37"/>
      <c r="P840" s="37"/>
      <c r="Q840" s="37"/>
      <c r="R840" s="37"/>
      <c r="S840" s="37"/>
      <c r="T840" s="37"/>
      <c r="U840" s="37"/>
    </row>
    <row r="841" spans="1:21" ht="15.75" customHeight="1" x14ac:dyDescent="0.2">
      <c r="A841" s="37"/>
      <c r="B841" s="37"/>
      <c r="C841" s="20"/>
      <c r="D841" s="20"/>
      <c r="E841" s="20"/>
      <c r="F841" s="20"/>
      <c r="G841" s="20"/>
      <c r="H841" s="37"/>
      <c r="I841" s="37"/>
      <c r="J841" s="37"/>
      <c r="K841" s="37"/>
      <c r="L841" s="37"/>
      <c r="M841" s="37"/>
      <c r="N841" s="37"/>
      <c r="O841" s="37"/>
      <c r="P841" s="37"/>
      <c r="Q841" s="37"/>
      <c r="R841" s="37"/>
      <c r="S841" s="37"/>
      <c r="T841" s="37"/>
      <c r="U841" s="37"/>
    </row>
    <row r="842" spans="1:21" ht="15.75" customHeight="1" x14ac:dyDescent="0.2">
      <c r="A842" s="37"/>
      <c r="B842" s="37"/>
      <c r="C842" s="20"/>
      <c r="D842" s="20"/>
      <c r="E842" s="20"/>
      <c r="F842" s="20"/>
      <c r="G842" s="20"/>
      <c r="H842" s="37"/>
      <c r="I842" s="37"/>
      <c r="J842" s="37"/>
      <c r="K842" s="37"/>
      <c r="L842" s="37"/>
      <c r="M842" s="37"/>
      <c r="N842" s="37"/>
      <c r="O842" s="37"/>
      <c r="P842" s="37"/>
      <c r="Q842" s="37"/>
      <c r="R842" s="37"/>
      <c r="S842" s="37"/>
      <c r="T842" s="37"/>
      <c r="U842" s="37"/>
    </row>
    <row r="843" spans="1:21" ht="15.75" customHeight="1" x14ac:dyDescent="0.2">
      <c r="A843" s="37"/>
      <c r="B843" s="37"/>
      <c r="C843" s="20"/>
      <c r="D843" s="20"/>
      <c r="E843" s="20"/>
      <c r="F843" s="20"/>
      <c r="G843" s="20"/>
      <c r="H843" s="37"/>
      <c r="I843" s="37"/>
      <c r="J843" s="37"/>
      <c r="K843" s="37"/>
      <c r="L843" s="37"/>
      <c r="M843" s="37"/>
      <c r="N843" s="37"/>
      <c r="O843" s="37"/>
      <c r="P843" s="37"/>
      <c r="Q843" s="37"/>
      <c r="R843" s="37"/>
      <c r="S843" s="37"/>
      <c r="T843" s="37"/>
      <c r="U843" s="37"/>
    </row>
    <row r="844" spans="1:21" ht="15.75" customHeight="1" x14ac:dyDescent="0.2">
      <c r="A844" s="37"/>
      <c r="B844" s="37"/>
      <c r="C844" s="20"/>
      <c r="D844" s="20"/>
      <c r="E844" s="20"/>
      <c r="F844" s="20"/>
      <c r="G844" s="20"/>
      <c r="H844" s="37"/>
      <c r="I844" s="37"/>
      <c r="J844" s="37"/>
      <c r="K844" s="37"/>
      <c r="L844" s="37"/>
      <c r="M844" s="37"/>
      <c r="N844" s="37"/>
      <c r="O844" s="37"/>
      <c r="P844" s="37"/>
      <c r="Q844" s="37"/>
      <c r="R844" s="37"/>
      <c r="S844" s="37"/>
      <c r="T844" s="37"/>
      <c r="U844" s="37"/>
    </row>
    <row r="845" spans="1:21" ht="15.75" customHeight="1" x14ac:dyDescent="0.2">
      <c r="A845" s="37"/>
      <c r="B845" s="37"/>
      <c r="C845" s="20"/>
      <c r="D845" s="20"/>
      <c r="E845" s="20"/>
      <c r="F845" s="20"/>
      <c r="G845" s="20"/>
      <c r="H845" s="37"/>
      <c r="I845" s="37"/>
      <c r="J845" s="37"/>
      <c r="K845" s="37"/>
      <c r="L845" s="37"/>
      <c r="M845" s="37"/>
      <c r="N845" s="37"/>
      <c r="O845" s="37"/>
      <c r="P845" s="37"/>
      <c r="Q845" s="37"/>
      <c r="R845" s="37"/>
      <c r="S845" s="37"/>
      <c r="T845" s="37"/>
      <c r="U845" s="37"/>
    </row>
    <row r="846" spans="1:21" ht="15.75" customHeight="1" x14ac:dyDescent="0.2">
      <c r="A846" s="37"/>
      <c r="B846" s="37"/>
      <c r="C846" s="20"/>
      <c r="D846" s="20"/>
      <c r="E846" s="20"/>
      <c r="F846" s="20"/>
      <c r="G846" s="20"/>
      <c r="H846" s="37"/>
      <c r="I846" s="37"/>
      <c r="J846" s="37"/>
      <c r="K846" s="37"/>
      <c r="L846" s="37"/>
      <c r="M846" s="37"/>
      <c r="N846" s="37"/>
      <c r="O846" s="37"/>
      <c r="P846" s="37"/>
      <c r="Q846" s="37"/>
      <c r="R846" s="37"/>
      <c r="S846" s="37"/>
      <c r="T846" s="37"/>
      <c r="U846" s="37"/>
    </row>
    <row r="847" spans="1:21" ht="15.75" customHeight="1" x14ac:dyDescent="0.2">
      <c r="A847" s="37"/>
      <c r="B847" s="37"/>
      <c r="C847" s="20"/>
      <c r="D847" s="20"/>
      <c r="E847" s="20"/>
      <c r="F847" s="20"/>
      <c r="G847" s="20"/>
      <c r="H847" s="37"/>
      <c r="I847" s="37"/>
      <c r="J847" s="37"/>
      <c r="K847" s="37"/>
      <c r="L847" s="37"/>
      <c r="M847" s="37"/>
      <c r="N847" s="37"/>
      <c r="O847" s="37"/>
      <c r="P847" s="37"/>
      <c r="Q847" s="37"/>
      <c r="R847" s="37"/>
      <c r="S847" s="37"/>
      <c r="T847" s="37"/>
      <c r="U847" s="37"/>
    </row>
    <row r="848" spans="1:21" ht="15.75" customHeight="1" x14ac:dyDescent="0.2">
      <c r="A848" s="37"/>
      <c r="B848" s="37"/>
      <c r="C848" s="20"/>
      <c r="D848" s="20"/>
      <c r="E848" s="20"/>
      <c r="F848" s="20"/>
      <c r="G848" s="20"/>
      <c r="H848" s="37"/>
      <c r="I848" s="37"/>
      <c r="J848" s="37"/>
      <c r="K848" s="37"/>
      <c r="L848" s="37"/>
      <c r="M848" s="37"/>
      <c r="N848" s="37"/>
      <c r="O848" s="37"/>
      <c r="P848" s="37"/>
      <c r="Q848" s="37"/>
      <c r="R848" s="37"/>
      <c r="S848" s="37"/>
      <c r="T848" s="37"/>
      <c r="U848" s="37"/>
    </row>
    <row r="849" spans="1:21" ht="15.75" customHeight="1" x14ac:dyDescent="0.2">
      <c r="A849" s="37"/>
      <c r="B849" s="37"/>
      <c r="C849" s="20"/>
      <c r="D849" s="20"/>
      <c r="E849" s="20"/>
      <c r="F849" s="20"/>
      <c r="G849" s="20"/>
      <c r="H849" s="37"/>
      <c r="I849" s="37"/>
      <c r="J849" s="37"/>
      <c r="K849" s="37"/>
      <c r="L849" s="37"/>
      <c r="M849" s="37"/>
      <c r="N849" s="37"/>
      <c r="O849" s="37"/>
      <c r="P849" s="37"/>
      <c r="Q849" s="37"/>
      <c r="R849" s="37"/>
      <c r="S849" s="37"/>
      <c r="T849" s="37"/>
      <c r="U849" s="37"/>
    </row>
    <row r="850" spans="1:21" ht="15.75" customHeight="1" x14ac:dyDescent="0.2">
      <c r="A850" s="37"/>
      <c r="B850" s="37"/>
      <c r="C850" s="20"/>
      <c r="D850" s="20"/>
      <c r="E850" s="20"/>
      <c r="F850" s="20"/>
      <c r="G850" s="20"/>
      <c r="H850" s="37"/>
      <c r="I850" s="37"/>
      <c r="J850" s="37"/>
      <c r="K850" s="37"/>
      <c r="L850" s="37"/>
      <c r="M850" s="37"/>
      <c r="N850" s="37"/>
      <c r="O850" s="37"/>
      <c r="P850" s="37"/>
      <c r="Q850" s="37"/>
      <c r="R850" s="37"/>
      <c r="S850" s="37"/>
      <c r="T850" s="37"/>
      <c r="U850" s="37"/>
    </row>
    <row r="851" spans="1:21" ht="15.75" customHeight="1" x14ac:dyDescent="0.2">
      <c r="A851" s="37"/>
      <c r="B851" s="37"/>
      <c r="C851" s="20"/>
      <c r="D851" s="20"/>
      <c r="E851" s="20"/>
      <c r="F851" s="20"/>
      <c r="G851" s="20"/>
      <c r="H851" s="37"/>
      <c r="I851" s="37"/>
      <c r="J851" s="37"/>
      <c r="K851" s="37"/>
      <c r="L851" s="37"/>
      <c r="M851" s="37"/>
      <c r="N851" s="37"/>
      <c r="O851" s="37"/>
      <c r="P851" s="37"/>
      <c r="Q851" s="37"/>
      <c r="R851" s="37"/>
      <c r="S851" s="37"/>
      <c r="T851" s="37"/>
      <c r="U851" s="37"/>
    </row>
    <row r="852" spans="1:21" ht="15.75" customHeight="1" x14ac:dyDescent="0.2">
      <c r="A852" s="37"/>
      <c r="B852" s="37"/>
      <c r="C852" s="20"/>
      <c r="D852" s="20"/>
      <c r="E852" s="20"/>
      <c r="F852" s="20"/>
      <c r="G852" s="20"/>
      <c r="H852" s="37"/>
      <c r="I852" s="37"/>
      <c r="J852" s="37"/>
      <c r="K852" s="37"/>
      <c r="L852" s="37"/>
      <c r="M852" s="37"/>
      <c r="N852" s="37"/>
      <c r="O852" s="37"/>
      <c r="P852" s="37"/>
      <c r="Q852" s="37"/>
      <c r="R852" s="37"/>
      <c r="S852" s="37"/>
      <c r="T852" s="37"/>
      <c r="U852" s="37"/>
    </row>
    <row r="853" spans="1:21" ht="15.75" customHeight="1" x14ac:dyDescent="0.2">
      <c r="A853" s="37"/>
      <c r="B853" s="37"/>
      <c r="C853" s="20"/>
      <c r="D853" s="20"/>
      <c r="E853" s="20"/>
      <c r="F853" s="20"/>
      <c r="G853" s="20"/>
      <c r="H853" s="37"/>
      <c r="I853" s="37"/>
      <c r="J853" s="37"/>
      <c r="K853" s="37"/>
      <c r="L853" s="37"/>
      <c r="M853" s="37"/>
      <c r="N853" s="37"/>
      <c r="O853" s="37"/>
      <c r="P853" s="37"/>
      <c r="Q853" s="37"/>
      <c r="R853" s="37"/>
      <c r="S853" s="37"/>
      <c r="T853" s="37"/>
      <c r="U853" s="37"/>
    </row>
    <row r="854" spans="1:21" ht="15.75" customHeight="1" x14ac:dyDescent="0.2">
      <c r="A854" s="37"/>
      <c r="B854" s="37"/>
      <c r="C854" s="20"/>
      <c r="D854" s="20"/>
      <c r="E854" s="20"/>
      <c r="F854" s="20"/>
      <c r="G854" s="20"/>
      <c r="H854" s="37"/>
      <c r="I854" s="37"/>
      <c r="J854" s="37"/>
      <c r="K854" s="37"/>
      <c r="L854" s="37"/>
      <c r="M854" s="37"/>
      <c r="N854" s="37"/>
      <c r="O854" s="37"/>
      <c r="P854" s="37"/>
      <c r="Q854" s="37"/>
      <c r="R854" s="37"/>
      <c r="S854" s="37"/>
      <c r="T854" s="37"/>
      <c r="U854" s="37"/>
    </row>
    <row r="855" spans="1:21" ht="15.75" customHeight="1" x14ac:dyDescent="0.2">
      <c r="A855" s="37"/>
      <c r="B855" s="37"/>
      <c r="C855" s="20"/>
      <c r="D855" s="20"/>
      <c r="E855" s="20"/>
      <c r="F855" s="20"/>
      <c r="G855" s="20"/>
      <c r="H855" s="37"/>
      <c r="I855" s="37"/>
      <c r="J855" s="37"/>
      <c r="K855" s="37"/>
      <c r="L855" s="37"/>
      <c r="M855" s="37"/>
      <c r="N855" s="37"/>
      <c r="O855" s="37"/>
      <c r="P855" s="37"/>
      <c r="Q855" s="37"/>
      <c r="R855" s="37"/>
      <c r="S855" s="37"/>
      <c r="T855" s="37"/>
      <c r="U855" s="37"/>
    </row>
    <row r="856" spans="1:21" ht="15.75" customHeight="1" x14ac:dyDescent="0.2">
      <c r="A856" s="37"/>
      <c r="B856" s="37"/>
      <c r="C856" s="20"/>
      <c r="D856" s="20"/>
      <c r="E856" s="20"/>
      <c r="F856" s="20"/>
      <c r="G856" s="20"/>
      <c r="H856" s="37"/>
      <c r="I856" s="37"/>
      <c r="J856" s="37"/>
      <c r="K856" s="37"/>
      <c r="L856" s="37"/>
      <c r="M856" s="37"/>
      <c r="N856" s="37"/>
      <c r="O856" s="37"/>
      <c r="P856" s="37"/>
      <c r="Q856" s="37"/>
      <c r="R856" s="37"/>
      <c r="S856" s="37"/>
      <c r="T856" s="37"/>
      <c r="U856" s="37"/>
    </row>
    <row r="857" spans="1:21" ht="15.75" customHeight="1" x14ac:dyDescent="0.2">
      <c r="A857" s="37"/>
      <c r="B857" s="37"/>
      <c r="C857" s="20"/>
      <c r="D857" s="20"/>
      <c r="E857" s="20"/>
      <c r="F857" s="20"/>
      <c r="G857" s="20"/>
      <c r="H857" s="37"/>
      <c r="I857" s="37"/>
      <c r="J857" s="37"/>
      <c r="K857" s="37"/>
      <c r="L857" s="37"/>
      <c r="M857" s="37"/>
      <c r="N857" s="37"/>
      <c r="O857" s="37"/>
      <c r="P857" s="37"/>
      <c r="Q857" s="37"/>
      <c r="R857" s="37"/>
      <c r="S857" s="37"/>
      <c r="T857" s="37"/>
      <c r="U857" s="37"/>
    </row>
    <row r="858" spans="1:21" ht="15.75" customHeight="1" x14ac:dyDescent="0.2">
      <c r="A858" s="37"/>
      <c r="B858" s="37"/>
      <c r="C858" s="20"/>
      <c r="D858" s="20"/>
      <c r="E858" s="20"/>
      <c r="F858" s="20"/>
      <c r="G858" s="20"/>
      <c r="H858" s="37"/>
      <c r="I858" s="37"/>
      <c r="J858" s="37"/>
      <c r="K858" s="37"/>
      <c r="L858" s="37"/>
      <c r="M858" s="37"/>
      <c r="N858" s="37"/>
      <c r="O858" s="37"/>
      <c r="P858" s="37"/>
      <c r="Q858" s="37"/>
      <c r="R858" s="37"/>
      <c r="S858" s="37"/>
      <c r="T858" s="37"/>
      <c r="U858" s="37"/>
    </row>
    <row r="859" spans="1:21" ht="15.75" customHeight="1" x14ac:dyDescent="0.2">
      <c r="A859" s="37"/>
      <c r="B859" s="37"/>
      <c r="C859" s="20"/>
      <c r="D859" s="20"/>
      <c r="E859" s="20"/>
      <c r="F859" s="20"/>
      <c r="G859" s="20"/>
      <c r="H859" s="37"/>
      <c r="I859" s="37"/>
      <c r="J859" s="37"/>
      <c r="K859" s="37"/>
      <c r="L859" s="37"/>
      <c r="M859" s="37"/>
      <c r="N859" s="37"/>
      <c r="O859" s="37"/>
      <c r="P859" s="37"/>
      <c r="Q859" s="37"/>
      <c r="R859" s="37"/>
      <c r="S859" s="37"/>
      <c r="T859" s="37"/>
      <c r="U859" s="37"/>
    </row>
    <row r="860" spans="1:21" ht="15.75" customHeight="1" x14ac:dyDescent="0.2">
      <c r="A860" s="37"/>
      <c r="B860" s="37"/>
      <c r="C860" s="20"/>
      <c r="D860" s="20"/>
      <c r="E860" s="20"/>
      <c r="F860" s="20"/>
      <c r="G860" s="20"/>
      <c r="H860" s="37"/>
      <c r="I860" s="37"/>
      <c r="J860" s="37"/>
      <c r="K860" s="37"/>
      <c r="L860" s="37"/>
      <c r="M860" s="37"/>
      <c r="N860" s="37"/>
      <c r="O860" s="37"/>
      <c r="P860" s="37"/>
      <c r="Q860" s="37"/>
      <c r="R860" s="37"/>
      <c r="S860" s="37"/>
      <c r="T860" s="37"/>
      <c r="U860" s="37"/>
    </row>
    <row r="861" spans="1:21" ht="15.75" customHeight="1" x14ac:dyDescent="0.2">
      <c r="A861" s="37"/>
      <c r="B861" s="37"/>
      <c r="C861" s="20"/>
      <c r="D861" s="20"/>
      <c r="E861" s="20"/>
      <c r="F861" s="20"/>
      <c r="G861" s="20"/>
      <c r="H861" s="37"/>
      <c r="I861" s="37"/>
      <c r="J861" s="37"/>
      <c r="K861" s="37"/>
      <c r="L861" s="37"/>
      <c r="M861" s="37"/>
      <c r="N861" s="37"/>
      <c r="O861" s="37"/>
      <c r="P861" s="37"/>
      <c r="Q861" s="37"/>
      <c r="R861" s="37"/>
      <c r="S861" s="37"/>
      <c r="T861" s="37"/>
      <c r="U861" s="37"/>
    </row>
    <row r="862" spans="1:21" ht="15.75" customHeight="1" x14ac:dyDescent="0.2">
      <c r="A862" s="37"/>
      <c r="B862" s="37"/>
      <c r="C862" s="20"/>
      <c r="D862" s="20"/>
      <c r="E862" s="20"/>
      <c r="F862" s="20"/>
      <c r="G862" s="20"/>
      <c r="H862" s="37"/>
      <c r="I862" s="37"/>
      <c r="J862" s="37"/>
      <c r="K862" s="37"/>
      <c r="L862" s="37"/>
      <c r="M862" s="37"/>
      <c r="N862" s="37"/>
      <c r="O862" s="37"/>
      <c r="P862" s="37"/>
      <c r="Q862" s="37"/>
      <c r="R862" s="37"/>
      <c r="S862" s="37"/>
      <c r="T862" s="37"/>
      <c r="U862" s="37"/>
    </row>
    <row r="863" spans="1:21" ht="15.75" customHeight="1" x14ac:dyDescent="0.2">
      <c r="A863" s="37"/>
      <c r="B863" s="37"/>
      <c r="C863" s="20"/>
      <c r="D863" s="20"/>
      <c r="E863" s="20"/>
      <c r="F863" s="20"/>
      <c r="G863" s="20"/>
      <c r="H863" s="37"/>
      <c r="I863" s="37"/>
      <c r="J863" s="37"/>
      <c r="K863" s="37"/>
      <c r="L863" s="37"/>
      <c r="M863" s="37"/>
      <c r="N863" s="37"/>
      <c r="O863" s="37"/>
      <c r="P863" s="37"/>
      <c r="Q863" s="37"/>
      <c r="R863" s="37"/>
      <c r="S863" s="37"/>
      <c r="T863" s="37"/>
      <c r="U863" s="37"/>
    </row>
    <row r="864" spans="1:21" ht="15.75" customHeight="1" x14ac:dyDescent="0.2">
      <c r="A864" s="37"/>
      <c r="B864" s="37"/>
      <c r="C864" s="20"/>
      <c r="D864" s="20"/>
      <c r="E864" s="20"/>
      <c r="F864" s="20"/>
      <c r="G864" s="20"/>
      <c r="H864" s="37"/>
      <c r="I864" s="37"/>
      <c r="J864" s="37"/>
      <c r="K864" s="37"/>
      <c r="L864" s="37"/>
      <c r="M864" s="37"/>
      <c r="N864" s="37"/>
      <c r="O864" s="37"/>
      <c r="P864" s="37"/>
      <c r="Q864" s="37"/>
      <c r="R864" s="37"/>
      <c r="S864" s="37"/>
      <c r="T864" s="37"/>
      <c r="U864" s="37"/>
    </row>
    <row r="865" spans="1:21" ht="15.75" customHeight="1" x14ac:dyDescent="0.2">
      <c r="A865" s="37"/>
      <c r="B865" s="37"/>
      <c r="C865" s="20"/>
      <c r="D865" s="20"/>
      <c r="E865" s="20"/>
      <c r="F865" s="20"/>
      <c r="G865" s="20"/>
      <c r="H865" s="37"/>
      <c r="I865" s="37"/>
      <c r="J865" s="37"/>
      <c r="K865" s="37"/>
      <c r="L865" s="37"/>
      <c r="M865" s="37"/>
      <c r="N865" s="37"/>
      <c r="O865" s="37"/>
      <c r="P865" s="37"/>
      <c r="Q865" s="37"/>
      <c r="R865" s="37"/>
      <c r="S865" s="37"/>
      <c r="T865" s="37"/>
      <c r="U865" s="37"/>
    </row>
    <row r="866" spans="1:21" ht="15.75" customHeight="1" x14ac:dyDescent="0.2">
      <c r="A866" s="37"/>
      <c r="B866" s="37"/>
      <c r="C866" s="20"/>
      <c r="D866" s="20"/>
      <c r="E866" s="20"/>
      <c r="F866" s="20"/>
      <c r="G866" s="20"/>
      <c r="H866" s="37"/>
      <c r="I866" s="37"/>
      <c r="J866" s="37"/>
      <c r="K866" s="37"/>
      <c r="L866" s="37"/>
      <c r="M866" s="37"/>
      <c r="N866" s="37"/>
      <c r="O866" s="37"/>
      <c r="P866" s="37"/>
      <c r="Q866" s="37"/>
      <c r="R866" s="37"/>
      <c r="S866" s="37"/>
      <c r="T866" s="37"/>
      <c r="U866" s="37"/>
    </row>
    <row r="867" spans="1:21" ht="15.75" customHeight="1" x14ac:dyDescent="0.2">
      <c r="A867" s="37"/>
      <c r="B867" s="37"/>
      <c r="C867" s="20"/>
      <c r="D867" s="20"/>
      <c r="E867" s="20"/>
      <c r="F867" s="20"/>
      <c r="G867" s="20"/>
      <c r="H867" s="37"/>
      <c r="I867" s="37"/>
      <c r="J867" s="37"/>
      <c r="K867" s="37"/>
      <c r="L867" s="37"/>
      <c r="M867" s="37"/>
      <c r="N867" s="37"/>
      <c r="O867" s="37"/>
      <c r="P867" s="37"/>
      <c r="Q867" s="37"/>
      <c r="R867" s="37"/>
      <c r="S867" s="37"/>
      <c r="T867" s="37"/>
      <c r="U867" s="37"/>
    </row>
    <row r="868" spans="1:21" ht="15.75" customHeight="1" x14ac:dyDescent="0.2">
      <c r="A868" s="37"/>
      <c r="B868" s="37"/>
      <c r="C868" s="20"/>
      <c r="D868" s="20"/>
      <c r="E868" s="20"/>
      <c r="F868" s="20"/>
      <c r="G868" s="20"/>
      <c r="H868" s="37"/>
      <c r="I868" s="37"/>
      <c r="J868" s="37"/>
      <c r="K868" s="37"/>
      <c r="L868" s="37"/>
      <c r="M868" s="37"/>
      <c r="N868" s="37"/>
      <c r="O868" s="37"/>
      <c r="P868" s="37"/>
      <c r="Q868" s="37"/>
      <c r="R868" s="37"/>
      <c r="S868" s="37"/>
      <c r="T868" s="37"/>
      <c r="U868" s="37"/>
    </row>
    <row r="869" spans="1:21" ht="15.75" customHeight="1" x14ac:dyDescent="0.2">
      <c r="A869" s="37"/>
      <c r="B869" s="37"/>
      <c r="C869" s="20"/>
      <c r="D869" s="20"/>
      <c r="E869" s="20"/>
      <c r="F869" s="20"/>
      <c r="G869" s="20"/>
      <c r="H869" s="37"/>
      <c r="I869" s="37"/>
      <c r="J869" s="37"/>
      <c r="K869" s="37"/>
      <c r="L869" s="37"/>
      <c r="M869" s="37"/>
      <c r="N869" s="37"/>
      <c r="O869" s="37"/>
      <c r="P869" s="37"/>
      <c r="Q869" s="37"/>
      <c r="R869" s="37"/>
      <c r="S869" s="37"/>
      <c r="T869" s="37"/>
      <c r="U869" s="37"/>
    </row>
    <row r="870" spans="1:21" ht="15.75" customHeight="1" x14ac:dyDescent="0.2">
      <c r="A870" s="37"/>
      <c r="B870" s="37"/>
      <c r="C870" s="20"/>
      <c r="D870" s="20"/>
      <c r="E870" s="20"/>
      <c r="F870" s="20"/>
      <c r="G870" s="20"/>
      <c r="H870" s="37"/>
      <c r="I870" s="37"/>
      <c r="J870" s="37"/>
      <c r="K870" s="37"/>
      <c r="L870" s="37"/>
      <c r="M870" s="37"/>
      <c r="N870" s="37"/>
      <c r="O870" s="37"/>
      <c r="P870" s="37"/>
      <c r="Q870" s="37"/>
      <c r="R870" s="37"/>
      <c r="S870" s="37"/>
      <c r="T870" s="37"/>
      <c r="U870" s="37"/>
    </row>
    <row r="871" spans="1:21" ht="15.75" customHeight="1" x14ac:dyDescent="0.2">
      <c r="A871" s="37"/>
      <c r="B871" s="37"/>
      <c r="C871" s="20"/>
      <c r="D871" s="20"/>
      <c r="E871" s="20"/>
      <c r="F871" s="20"/>
      <c r="G871" s="20"/>
      <c r="H871" s="37"/>
      <c r="I871" s="37"/>
      <c r="J871" s="37"/>
      <c r="K871" s="37"/>
      <c r="L871" s="37"/>
      <c r="M871" s="37"/>
      <c r="N871" s="37"/>
      <c r="O871" s="37"/>
      <c r="P871" s="37"/>
      <c r="Q871" s="37"/>
      <c r="R871" s="37"/>
      <c r="S871" s="37"/>
      <c r="T871" s="37"/>
      <c r="U871" s="37"/>
    </row>
    <row r="872" spans="1:21" ht="15.75" customHeight="1" x14ac:dyDescent="0.2">
      <c r="A872" s="37"/>
      <c r="B872" s="37"/>
      <c r="C872" s="20"/>
      <c r="D872" s="20"/>
      <c r="E872" s="20"/>
      <c r="F872" s="20"/>
      <c r="G872" s="20"/>
      <c r="H872" s="37"/>
      <c r="I872" s="37"/>
      <c r="J872" s="37"/>
      <c r="K872" s="37"/>
      <c r="L872" s="37"/>
      <c r="M872" s="37"/>
      <c r="N872" s="37"/>
      <c r="O872" s="37"/>
      <c r="P872" s="37"/>
      <c r="Q872" s="37"/>
      <c r="R872" s="37"/>
      <c r="S872" s="37"/>
      <c r="T872" s="37"/>
      <c r="U872" s="37"/>
    </row>
    <row r="873" spans="1:21" ht="15.75" customHeight="1" x14ac:dyDescent="0.2">
      <c r="A873" s="37"/>
      <c r="B873" s="37"/>
      <c r="C873" s="20"/>
      <c r="D873" s="20"/>
      <c r="E873" s="20"/>
      <c r="F873" s="20"/>
      <c r="G873" s="20"/>
      <c r="H873" s="37"/>
      <c r="I873" s="37"/>
      <c r="J873" s="37"/>
      <c r="K873" s="37"/>
      <c r="L873" s="37"/>
      <c r="M873" s="37"/>
      <c r="N873" s="37"/>
      <c r="O873" s="37"/>
      <c r="P873" s="37"/>
      <c r="Q873" s="37"/>
      <c r="R873" s="37"/>
      <c r="S873" s="37"/>
      <c r="T873" s="37"/>
      <c r="U873" s="37"/>
    </row>
    <row r="874" spans="1:21" ht="15.75" customHeight="1" x14ac:dyDescent="0.2">
      <c r="A874" s="37"/>
      <c r="B874" s="37"/>
      <c r="C874" s="20"/>
      <c r="D874" s="20"/>
      <c r="E874" s="20"/>
      <c r="F874" s="20"/>
      <c r="G874" s="20"/>
      <c r="H874" s="37"/>
      <c r="I874" s="37"/>
      <c r="J874" s="37"/>
      <c r="K874" s="37"/>
      <c r="L874" s="37"/>
      <c r="M874" s="37"/>
      <c r="N874" s="37"/>
      <c r="O874" s="37"/>
      <c r="P874" s="37"/>
      <c r="Q874" s="37"/>
      <c r="R874" s="37"/>
      <c r="S874" s="37"/>
      <c r="T874" s="37"/>
      <c r="U874" s="37"/>
    </row>
    <row r="875" spans="1:21" ht="15.75" customHeight="1" x14ac:dyDescent="0.2">
      <c r="A875" s="37"/>
      <c r="B875" s="37"/>
      <c r="C875" s="20"/>
      <c r="D875" s="20"/>
      <c r="E875" s="20"/>
      <c r="F875" s="20"/>
      <c r="G875" s="20"/>
      <c r="H875" s="37"/>
      <c r="I875" s="37"/>
      <c r="J875" s="37"/>
      <c r="K875" s="37"/>
      <c r="L875" s="37"/>
      <c r="M875" s="37"/>
      <c r="N875" s="37"/>
      <c r="O875" s="37"/>
      <c r="P875" s="37"/>
      <c r="Q875" s="37"/>
      <c r="R875" s="37"/>
      <c r="S875" s="37"/>
      <c r="T875" s="37"/>
      <c r="U875" s="37"/>
    </row>
    <row r="876" spans="1:21" ht="15.75" customHeight="1" x14ac:dyDescent="0.2">
      <c r="A876" s="37"/>
      <c r="B876" s="37"/>
      <c r="C876" s="20"/>
      <c r="D876" s="20"/>
      <c r="E876" s="20"/>
      <c r="F876" s="20"/>
      <c r="G876" s="20"/>
      <c r="H876" s="37"/>
      <c r="I876" s="37"/>
      <c r="J876" s="37"/>
      <c r="K876" s="37"/>
      <c r="L876" s="37"/>
      <c r="M876" s="37"/>
      <c r="N876" s="37"/>
      <c r="O876" s="37"/>
      <c r="P876" s="37"/>
      <c r="Q876" s="37"/>
      <c r="R876" s="37"/>
      <c r="S876" s="37"/>
      <c r="T876" s="37"/>
      <c r="U876" s="37"/>
    </row>
    <row r="877" spans="1:21" ht="15.75" customHeight="1" x14ac:dyDescent="0.2">
      <c r="A877" s="37"/>
      <c r="B877" s="37"/>
      <c r="C877" s="20"/>
      <c r="D877" s="20"/>
      <c r="E877" s="20"/>
      <c r="F877" s="20"/>
      <c r="G877" s="20"/>
      <c r="H877" s="37"/>
      <c r="I877" s="37"/>
      <c r="J877" s="37"/>
      <c r="K877" s="37"/>
      <c r="L877" s="37"/>
      <c r="M877" s="37"/>
      <c r="N877" s="37"/>
      <c r="O877" s="37"/>
      <c r="P877" s="37"/>
      <c r="Q877" s="37"/>
      <c r="R877" s="37"/>
      <c r="S877" s="37"/>
      <c r="T877" s="37"/>
      <c r="U877" s="37"/>
    </row>
    <row r="878" spans="1:21" ht="15.75" customHeight="1" x14ac:dyDescent="0.2">
      <c r="A878" s="37"/>
      <c r="B878" s="37"/>
      <c r="C878" s="20"/>
      <c r="D878" s="20"/>
      <c r="E878" s="20"/>
      <c r="F878" s="20"/>
      <c r="G878" s="20"/>
      <c r="H878" s="37"/>
      <c r="I878" s="37"/>
      <c r="J878" s="37"/>
      <c r="K878" s="37"/>
      <c r="L878" s="37"/>
      <c r="M878" s="37"/>
      <c r="N878" s="37"/>
      <c r="O878" s="37"/>
      <c r="P878" s="37"/>
      <c r="Q878" s="37"/>
      <c r="R878" s="37"/>
      <c r="S878" s="37"/>
      <c r="T878" s="37"/>
      <c r="U878" s="37"/>
    </row>
    <row r="879" spans="1:21" ht="15.75" customHeight="1" x14ac:dyDescent="0.2">
      <c r="A879" s="37"/>
      <c r="B879" s="37"/>
      <c r="C879" s="20"/>
      <c r="D879" s="20"/>
      <c r="E879" s="20"/>
      <c r="F879" s="20"/>
      <c r="G879" s="20"/>
      <c r="H879" s="37"/>
      <c r="I879" s="37"/>
      <c r="J879" s="37"/>
      <c r="K879" s="37"/>
      <c r="L879" s="37"/>
      <c r="M879" s="37"/>
      <c r="N879" s="37"/>
      <c r="O879" s="37"/>
      <c r="P879" s="37"/>
      <c r="Q879" s="37"/>
      <c r="R879" s="37"/>
      <c r="S879" s="37"/>
      <c r="T879" s="37"/>
      <c r="U879" s="37"/>
    </row>
    <row r="880" spans="1:21" ht="15.75" customHeight="1" x14ac:dyDescent="0.2">
      <c r="A880" s="37"/>
      <c r="B880" s="37"/>
      <c r="C880" s="20"/>
      <c r="D880" s="20"/>
      <c r="E880" s="20"/>
      <c r="F880" s="20"/>
      <c r="G880" s="20"/>
      <c r="H880" s="37"/>
      <c r="I880" s="37"/>
      <c r="J880" s="37"/>
      <c r="K880" s="37"/>
      <c r="L880" s="37"/>
      <c r="M880" s="37"/>
      <c r="N880" s="37"/>
      <c r="O880" s="37"/>
      <c r="P880" s="37"/>
      <c r="Q880" s="37"/>
      <c r="R880" s="37"/>
      <c r="S880" s="37"/>
      <c r="T880" s="37"/>
      <c r="U880" s="37"/>
    </row>
    <row r="881" spans="1:21" ht="15.75" customHeight="1" x14ac:dyDescent="0.2">
      <c r="A881" s="37"/>
      <c r="B881" s="37"/>
      <c r="C881" s="20"/>
      <c r="D881" s="20"/>
      <c r="E881" s="20"/>
      <c r="F881" s="20"/>
      <c r="G881" s="20"/>
      <c r="H881" s="37"/>
      <c r="I881" s="37"/>
      <c r="J881" s="37"/>
      <c r="K881" s="37"/>
      <c r="L881" s="37"/>
      <c r="M881" s="37"/>
      <c r="N881" s="37"/>
      <c r="O881" s="37"/>
      <c r="P881" s="37"/>
      <c r="Q881" s="37"/>
      <c r="R881" s="37"/>
      <c r="S881" s="37"/>
      <c r="T881" s="37"/>
      <c r="U881" s="37"/>
    </row>
    <row r="882" spans="1:21" ht="15.75" customHeight="1" x14ac:dyDescent="0.2">
      <c r="A882" s="37"/>
      <c r="B882" s="37"/>
      <c r="C882" s="20"/>
      <c r="D882" s="20"/>
      <c r="E882" s="20"/>
      <c r="F882" s="20"/>
      <c r="G882" s="20"/>
      <c r="H882" s="37"/>
      <c r="I882" s="37"/>
      <c r="J882" s="37"/>
      <c r="K882" s="37"/>
      <c r="L882" s="37"/>
      <c r="M882" s="37"/>
      <c r="N882" s="37"/>
      <c r="O882" s="37"/>
      <c r="P882" s="37"/>
      <c r="Q882" s="37"/>
      <c r="R882" s="37"/>
      <c r="S882" s="37"/>
      <c r="T882" s="37"/>
      <c r="U882" s="37"/>
    </row>
    <row r="883" spans="1:21" ht="15.75" customHeight="1" x14ac:dyDescent="0.2">
      <c r="A883" s="37"/>
      <c r="B883" s="37"/>
      <c r="C883" s="20"/>
      <c r="D883" s="20"/>
      <c r="E883" s="20"/>
      <c r="F883" s="20"/>
      <c r="G883" s="20"/>
      <c r="H883" s="37"/>
      <c r="I883" s="37"/>
      <c r="J883" s="37"/>
      <c r="K883" s="37"/>
      <c r="L883" s="37"/>
      <c r="M883" s="37"/>
      <c r="N883" s="37"/>
      <c r="O883" s="37"/>
      <c r="P883" s="37"/>
      <c r="Q883" s="37"/>
      <c r="R883" s="37"/>
      <c r="S883" s="37"/>
      <c r="T883" s="37"/>
      <c r="U883" s="37"/>
    </row>
    <row r="884" spans="1:21" ht="15.75" customHeight="1" x14ac:dyDescent="0.2">
      <c r="A884" s="37"/>
      <c r="B884" s="37"/>
      <c r="C884" s="20"/>
      <c r="D884" s="20"/>
      <c r="E884" s="20"/>
      <c r="F884" s="20"/>
      <c r="G884" s="20"/>
      <c r="H884" s="37"/>
      <c r="I884" s="37"/>
      <c r="J884" s="37"/>
      <c r="K884" s="37"/>
      <c r="L884" s="37"/>
      <c r="M884" s="37"/>
      <c r="N884" s="37"/>
      <c r="O884" s="37"/>
      <c r="P884" s="37"/>
      <c r="Q884" s="37"/>
      <c r="R884" s="37"/>
      <c r="S884" s="37"/>
      <c r="T884" s="37"/>
      <c r="U884" s="37"/>
    </row>
    <row r="885" spans="1:21" ht="15.75" customHeight="1" x14ac:dyDescent="0.2">
      <c r="A885" s="37"/>
      <c r="B885" s="37"/>
      <c r="C885" s="20"/>
      <c r="D885" s="20"/>
      <c r="E885" s="20"/>
      <c r="F885" s="20"/>
      <c r="G885" s="20"/>
      <c r="H885" s="37"/>
      <c r="I885" s="37"/>
      <c r="J885" s="37"/>
      <c r="K885" s="37"/>
      <c r="L885" s="37"/>
      <c r="M885" s="37"/>
      <c r="N885" s="37"/>
      <c r="O885" s="37"/>
      <c r="P885" s="37"/>
      <c r="Q885" s="37"/>
      <c r="R885" s="37"/>
      <c r="S885" s="37"/>
      <c r="T885" s="37"/>
      <c r="U885" s="37"/>
    </row>
    <row r="886" spans="1:21" ht="15.75" customHeight="1" x14ac:dyDescent="0.2">
      <c r="A886" s="37"/>
      <c r="B886" s="37"/>
      <c r="C886" s="20"/>
      <c r="D886" s="20"/>
      <c r="E886" s="20"/>
      <c r="F886" s="20"/>
      <c r="G886" s="20"/>
      <c r="H886" s="37"/>
      <c r="I886" s="37"/>
      <c r="J886" s="37"/>
      <c r="K886" s="37"/>
      <c r="L886" s="37"/>
      <c r="M886" s="37"/>
      <c r="N886" s="37"/>
      <c r="O886" s="37"/>
      <c r="P886" s="37"/>
      <c r="Q886" s="37"/>
      <c r="R886" s="37"/>
      <c r="S886" s="37"/>
      <c r="T886" s="37"/>
      <c r="U886" s="37"/>
    </row>
    <row r="887" spans="1:21" ht="15.75" customHeight="1" x14ac:dyDescent="0.2">
      <c r="A887" s="37"/>
      <c r="B887" s="37"/>
      <c r="C887" s="20"/>
      <c r="D887" s="20"/>
      <c r="E887" s="20"/>
      <c r="F887" s="20"/>
      <c r="G887" s="20"/>
      <c r="H887" s="37"/>
      <c r="I887" s="37"/>
      <c r="J887" s="37"/>
      <c r="K887" s="37"/>
      <c r="L887" s="37"/>
      <c r="M887" s="37"/>
      <c r="N887" s="37"/>
      <c r="O887" s="37"/>
      <c r="P887" s="37"/>
      <c r="Q887" s="37"/>
      <c r="R887" s="37"/>
      <c r="S887" s="37"/>
      <c r="T887" s="37"/>
      <c r="U887" s="37"/>
    </row>
    <row r="888" spans="1:21" ht="15.75" customHeight="1" x14ac:dyDescent="0.2">
      <c r="A888" s="37"/>
      <c r="B888" s="37"/>
      <c r="C888" s="20"/>
      <c r="D888" s="20"/>
      <c r="E888" s="20"/>
      <c r="F888" s="20"/>
      <c r="G888" s="20"/>
      <c r="H888" s="37"/>
      <c r="I888" s="37"/>
      <c r="J888" s="37"/>
      <c r="K888" s="37"/>
      <c r="L888" s="37"/>
      <c r="M888" s="37"/>
      <c r="N888" s="37"/>
      <c r="O888" s="37"/>
      <c r="P888" s="37"/>
      <c r="Q888" s="37"/>
      <c r="R888" s="37"/>
      <c r="S888" s="37"/>
      <c r="T888" s="37"/>
      <c r="U888" s="37"/>
    </row>
    <row r="889" spans="1:21" ht="15.75" customHeight="1" x14ac:dyDescent="0.2">
      <c r="A889" s="37"/>
      <c r="B889" s="37"/>
      <c r="C889" s="20"/>
      <c r="D889" s="20"/>
      <c r="E889" s="20"/>
      <c r="F889" s="20"/>
      <c r="G889" s="20"/>
      <c r="H889" s="37"/>
      <c r="I889" s="37"/>
      <c r="J889" s="37"/>
      <c r="K889" s="37"/>
      <c r="L889" s="37"/>
      <c r="M889" s="37"/>
      <c r="N889" s="37"/>
      <c r="O889" s="37"/>
      <c r="P889" s="37"/>
      <c r="Q889" s="37"/>
      <c r="R889" s="37"/>
      <c r="S889" s="37"/>
      <c r="T889" s="37"/>
      <c r="U889" s="37"/>
    </row>
    <row r="890" spans="1:21" ht="15.75" customHeight="1" x14ac:dyDescent="0.2">
      <c r="A890" s="37"/>
      <c r="B890" s="37"/>
      <c r="C890" s="20"/>
      <c r="D890" s="20"/>
      <c r="E890" s="20"/>
      <c r="F890" s="20"/>
      <c r="G890" s="20"/>
      <c r="H890" s="37"/>
      <c r="I890" s="37"/>
      <c r="J890" s="37"/>
      <c r="K890" s="37"/>
      <c r="L890" s="37"/>
      <c r="M890" s="37"/>
      <c r="N890" s="37"/>
      <c r="O890" s="37"/>
      <c r="P890" s="37"/>
      <c r="Q890" s="37"/>
      <c r="R890" s="37"/>
      <c r="S890" s="37"/>
      <c r="T890" s="37"/>
      <c r="U890" s="37"/>
    </row>
    <row r="891" spans="1:21" ht="15.75" customHeight="1" x14ac:dyDescent="0.2">
      <c r="A891" s="37"/>
      <c r="B891" s="37"/>
      <c r="C891" s="20"/>
      <c r="D891" s="20"/>
      <c r="E891" s="20"/>
      <c r="F891" s="20"/>
      <c r="G891" s="20"/>
      <c r="H891" s="37"/>
      <c r="I891" s="37"/>
      <c r="J891" s="37"/>
      <c r="K891" s="37"/>
      <c r="L891" s="37"/>
      <c r="M891" s="37"/>
      <c r="N891" s="37"/>
      <c r="O891" s="37"/>
      <c r="P891" s="37"/>
      <c r="Q891" s="37"/>
      <c r="R891" s="37"/>
      <c r="S891" s="37"/>
      <c r="T891" s="37"/>
      <c r="U891" s="37"/>
    </row>
    <row r="892" spans="1:21" ht="15.75" customHeight="1" x14ac:dyDescent="0.2">
      <c r="A892" s="37"/>
      <c r="B892" s="37"/>
      <c r="C892" s="20"/>
      <c r="D892" s="20"/>
      <c r="E892" s="20"/>
      <c r="F892" s="20"/>
      <c r="G892" s="20"/>
      <c r="H892" s="37"/>
      <c r="I892" s="37"/>
      <c r="J892" s="37"/>
      <c r="K892" s="37"/>
      <c r="L892" s="37"/>
      <c r="M892" s="37"/>
      <c r="N892" s="37"/>
      <c r="O892" s="37"/>
      <c r="P892" s="37"/>
      <c r="Q892" s="37"/>
      <c r="R892" s="37"/>
      <c r="S892" s="37"/>
      <c r="T892" s="37"/>
      <c r="U892" s="37"/>
    </row>
    <row r="893" spans="1:21" ht="15.75" customHeight="1" x14ac:dyDescent="0.2">
      <c r="A893" s="37"/>
      <c r="B893" s="37"/>
      <c r="C893" s="20"/>
      <c r="D893" s="20"/>
      <c r="E893" s="20"/>
      <c r="F893" s="20"/>
      <c r="G893" s="20"/>
      <c r="H893" s="37"/>
      <c r="I893" s="37"/>
      <c r="J893" s="37"/>
      <c r="K893" s="37"/>
      <c r="L893" s="37"/>
      <c r="M893" s="37"/>
      <c r="N893" s="37"/>
      <c r="O893" s="37"/>
      <c r="P893" s="37"/>
      <c r="Q893" s="37"/>
      <c r="R893" s="37"/>
      <c r="S893" s="37"/>
      <c r="T893" s="37"/>
      <c r="U893" s="37"/>
    </row>
    <row r="894" spans="1:21" ht="15.75" customHeight="1" x14ac:dyDescent="0.2">
      <c r="A894" s="37"/>
      <c r="B894" s="37"/>
      <c r="C894" s="20"/>
      <c r="D894" s="20"/>
      <c r="E894" s="20"/>
      <c r="F894" s="20"/>
      <c r="G894" s="20"/>
      <c r="H894" s="37"/>
      <c r="I894" s="37"/>
      <c r="J894" s="37"/>
      <c r="K894" s="37"/>
      <c r="L894" s="37"/>
      <c r="M894" s="37"/>
      <c r="N894" s="37"/>
      <c r="O894" s="37"/>
      <c r="P894" s="37"/>
      <c r="Q894" s="37"/>
      <c r="R894" s="37"/>
      <c r="S894" s="37"/>
      <c r="T894" s="37"/>
      <c r="U894" s="37"/>
    </row>
    <row r="895" spans="1:21" ht="15.75" customHeight="1" x14ac:dyDescent="0.2">
      <c r="A895" s="37"/>
      <c r="B895" s="37"/>
      <c r="C895" s="20"/>
      <c r="D895" s="20"/>
      <c r="E895" s="20"/>
      <c r="F895" s="20"/>
      <c r="G895" s="20"/>
      <c r="H895" s="37"/>
      <c r="I895" s="37"/>
      <c r="J895" s="37"/>
      <c r="K895" s="37"/>
      <c r="L895" s="37"/>
      <c r="M895" s="37"/>
      <c r="N895" s="37"/>
      <c r="O895" s="37"/>
      <c r="P895" s="37"/>
      <c r="Q895" s="37"/>
      <c r="R895" s="37"/>
      <c r="S895" s="37"/>
      <c r="T895" s="37"/>
      <c r="U895" s="37"/>
    </row>
    <row r="896" spans="1:21" ht="15.75" customHeight="1" x14ac:dyDescent="0.2">
      <c r="A896" s="37"/>
      <c r="B896" s="37"/>
      <c r="C896" s="20"/>
      <c r="D896" s="20"/>
      <c r="E896" s="20"/>
      <c r="F896" s="20"/>
      <c r="G896" s="20"/>
      <c r="H896" s="37"/>
      <c r="I896" s="37"/>
      <c r="J896" s="37"/>
      <c r="K896" s="37"/>
      <c r="L896" s="37"/>
      <c r="M896" s="37"/>
      <c r="N896" s="37"/>
      <c r="O896" s="37"/>
      <c r="P896" s="37"/>
      <c r="Q896" s="37"/>
      <c r="R896" s="37"/>
      <c r="S896" s="37"/>
      <c r="T896" s="37"/>
      <c r="U896" s="37"/>
    </row>
    <row r="897" spans="1:21" ht="15.75" customHeight="1" x14ac:dyDescent="0.2">
      <c r="A897" s="37"/>
      <c r="B897" s="37"/>
      <c r="C897" s="20"/>
      <c r="D897" s="20"/>
      <c r="E897" s="20"/>
      <c r="F897" s="20"/>
      <c r="G897" s="20"/>
      <c r="H897" s="37"/>
      <c r="I897" s="37"/>
      <c r="J897" s="37"/>
      <c r="K897" s="37"/>
      <c r="L897" s="37"/>
      <c r="M897" s="37"/>
      <c r="N897" s="37"/>
      <c r="O897" s="37"/>
      <c r="P897" s="37"/>
      <c r="Q897" s="37"/>
      <c r="R897" s="37"/>
      <c r="S897" s="37"/>
      <c r="T897" s="37"/>
      <c r="U897" s="37"/>
    </row>
    <row r="898" spans="1:21" ht="15.75" customHeight="1" x14ac:dyDescent="0.2">
      <c r="A898" s="37"/>
      <c r="B898" s="37"/>
      <c r="C898" s="20"/>
      <c r="D898" s="20"/>
      <c r="E898" s="20"/>
      <c r="F898" s="20"/>
      <c r="G898" s="20"/>
      <c r="H898" s="37"/>
      <c r="I898" s="37"/>
      <c r="J898" s="37"/>
      <c r="K898" s="37"/>
      <c r="L898" s="37"/>
      <c r="M898" s="37"/>
      <c r="N898" s="37"/>
      <c r="O898" s="37"/>
      <c r="P898" s="37"/>
      <c r="Q898" s="37"/>
      <c r="R898" s="37"/>
      <c r="S898" s="37"/>
      <c r="T898" s="37"/>
      <c r="U898" s="37"/>
    </row>
    <row r="899" spans="1:21" ht="15.75" customHeight="1" x14ac:dyDescent="0.2">
      <c r="A899" s="37"/>
      <c r="B899" s="37"/>
      <c r="C899" s="20"/>
      <c r="D899" s="20"/>
      <c r="E899" s="20"/>
      <c r="F899" s="20"/>
      <c r="G899" s="20"/>
      <c r="H899" s="37"/>
      <c r="I899" s="37"/>
      <c r="J899" s="37"/>
      <c r="K899" s="37"/>
      <c r="L899" s="37"/>
      <c r="M899" s="37"/>
      <c r="N899" s="37"/>
      <c r="O899" s="37"/>
      <c r="P899" s="37"/>
      <c r="Q899" s="37"/>
      <c r="R899" s="37"/>
      <c r="S899" s="37"/>
      <c r="T899" s="37"/>
      <c r="U899" s="37"/>
    </row>
    <row r="900" spans="1:21" ht="15.75" customHeight="1" x14ac:dyDescent="0.2">
      <c r="A900" s="37"/>
      <c r="B900" s="37"/>
      <c r="C900" s="20"/>
      <c r="D900" s="20"/>
      <c r="E900" s="20"/>
      <c r="F900" s="20"/>
      <c r="G900" s="20"/>
      <c r="H900" s="37"/>
      <c r="I900" s="37"/>
      <c r="J900" s="37"/>
      <c r="K900" s="37"/>
      <c r="L900" s="37"/>
      <c r="M900" s="37"/>
      <c r="N900" s="37"/>
      <c r="O900" s="37"/>
      <c r="P900" s="37"/>
      <c r="Q900" s="37"/>
      <c r="R900" s="37"/>
      <c r="S900" s="37"/>
      <c r="T900" s="37"/>
      <c r="U900" s="37"/>
    </row>
    <row r="901" spans="1:21" ht="15.75" customHeight="1" x14ac:dyDescent="0.2">
      <c r="A901" s="37"/>
      <c r="B901" s="37"/>
      <c r="C901" s="20"/>
      <c r="D901" s="20"/>
      <c r="E901" s="20"/>
      <c r="F901" s="20"/>
      <c r="G901" s="20"/>
      <c r="H901" s="37"/>
      <c r="I901" s="37"/>
      <c r="J901" s="37"/>
      <c r="K901" s="37"/>
      <c r="L901" s="37"/>
      <c r="M901" s="37"/>
      <c r="N901" s="37"/>
      <c r="O901" s="37"/>
      <c r="P901" s="37"/>
      <c r="Q901" s="37"/>
      <c r="R901" s="37"/>
      <c r="S901" s="37"/>
      <c r="T901" s="37"/>
      <c r="U901" s="37"/>
    </row>
    <row r="902" spans="1:21" ht="15.75" customHeight="1" x14ac:dyDescent="0.2">
      <c r="A902" s="37"/>
      <c r="B902" s="37"/>
      <c r="C902" s="20"/>
      <c r="D902" s="20"/>
      <c r="E902" s="20"/>
      <c r="F902" s="20"/>
      <c r="G902" s="20"/>
      <c r="H902" s="37"/>
      <c r="I902" s="37"/>
      <c r="J902" s="37"/>
      <c r="K902" s="37"/>
      <c r="L902" s="37"/>
      <c r="M902" s="37"/>
      <c r="N902" s="37"/>
      <c r="O902" s="37"/>
      <c r="P902" s="37"/>
      <c r="Q902" s="37"/>
      <c r="R902" s="37"/>
      <c r="S902" s="37"/>
      <c r="T902" s="37"/>
      <c r="U902" s="37"/>
    </row>
    <row r="903" spans="1:21" ht="15.75" customHeight="1" x14ac:dyDescent="0.2">
      <c r="A903" s="37"/>
      <c r="B903" s="37"/>
      <c r="C903" s="20"/>
      <c r="D903" s="20"/>
      <c r="E903" s="20"/>
      <c r="F903" s="20"/>
      <c r="G903" s="20"/>
      <c r="H903" s="37"/>
      <c r="I903" s="37"/>
      <c r="J903" s="37"/>
      <c r="K903" s="37"/>
      <c r="L903" s="37"/>
      <c r="M903" s="37"/>
      <c r="N903" s="37"/>
      <c r="O903" s="37"/>
      <c r="P903" s="37"/>
      <c r="Q903" s="37"/>
      <c r="R903" s="37"/>
      <c r="S903" s="37"/>
      <c r="T903" s="37"/>
      <c r="U903" s="37"/>
    </row>
    <row r="904" spans="1:21" ht="15.75" customHeight="1" x14ac:dyDescent="0.2">
      <c r="A904" s="37"/>
      <c r="B904" s="37"/>
      <c r="C904" s="20"/>
      <c r="D904" s="20"/>
      <c r="E904" s="20"/>
      <c r="F904" s="20"/>
      <c r="G904" s="20"/>
      <c r="H904" s="37"/>
      <c r="I904" s="37"/>
      <c r="J904" s="37"/>
      <c r="K904" s="37"/>
      <c r="L904" s="37"/>
      <c r="M904" s="37"/>
      <c r="N904" s="37"/>
      <c r="O904" s="37"/>
      <c r="P904" s="37"/>
      <c r="Q904" s="37"/>
      <c r="R904" s="37"/>
      <c r="S904" s="37"/>
      <c r="T904" s="37"/>
      <c r="U904" s="37"/>
    </row>
    <row r="905" spans="1:21" ht="15.75" customHeight="1" x14ac:dyDescent="0.2">
      <c r="A905" s="37"/>
      <c r="B905" s="37"/>
      <c r="C905" s="20"/>
      <c r="D905" s="20"/>
      <c r="E905" s="20"/>
      <c r="F905" s="20"/>
      <c r="G905" s="20"/>
      <c r="H905" s="37"/>
      <c r="I905" s="37"/>
      <c r="J905" s="37"/>
      <c r="K905" s="37"/>
      <c r="L905" s="37"/>
      <c r="M905" s="37"/>
      <c r="N905" s="37"/>
      <c r="O905" s="37"/>
      <c r="P905" s="37"/>
      <c r="Q905" s="37"/>
      <c r="R905" s="37"/>
      <c r="S905" s="37"/>
      <c r="T905" s="37"/>
      <c r="U905" s="37"/>
    </row>
    <row r="906" spans="1:21" ht="15.75" customHeight="1" x14ac:dyDescent="0.2">
      <c r="A906" s="37"/>
      <c r="B906" s="37"/>
      <c r="C906" s="20"/>
      <c r="D906" s="20"/>
      <c r="E906" s="20"/>
      <c r="F906" s="20"/>
      <c r="G906" s="20"/>
      <c r="H906" s="37"/>
      <c r="I906" s="37"/>
      <c r="J906" s="37"/>
      <c r="K906" s="37"/>
      <c r="L906" s="37"/>
      <c r="M906" s="37"/>
      <c r="N906" s="37"/>
      <c r="O906" s="37"/>
      <c r="P906" s="37"/>
      <c r="Q906" s="37"/>
      <c r="R906" s="37"/>
      <c r="S906" s="37"/>
      <c r="T906" s="37"/>
      <c r="U906" s="37"/>
    </row>
    <row r="907" spans="1:21" ht="15.75" customHeight="1" x14ac:dyDescent="0.2">
      <c r="A907" s="37"/>
      <c r="B907" s="37"/>
      <c r="C907" s="20"/>
      <c r="D907" s="20"/>
      <c r="E907" s="20"/>
      <c r="F907" s="20"/>
      <c r="G907" s="20"/>
      <c r="H907" s="37"/>
      <c r="I907" s="37"/>
      <c r="J907" s="37"/>
      <c r="K907" s="37"/>
      <c r="L907" s="37"/>
      <c r="M907" s="37"/>
      <c r="N907" s="37"/>
      <c r="O907" s="37"/>
      <c r="P907" s="37"/>
      <c r="Q907" s="37"/>
      <c r="R907" s="37"/>
      <c r="S907" s="37"/>
      <c r="T907" s="37"/>
      <c r="U907" s="37"/>
    </row>
    <row r="908" spans="1:21" ht="15.75" customHeight="1" x14ac:dyDescent="0.2">
      <c r="A908" s="37"/>
      <c r="B908" s="37"/>
      <c r="C908" s="20"/>
      <c r="D908" s="20"/>
      <c r="E908" s="20"/>
      <c r="F908" s="20"/>
      <c r="G908" s="20"/>
      <c r="H908" s="37"/>
      <c r="I908" s="37"/>
      <c r="J908" s="37"/>
      <c r="K908" s="37"/>
      <c r="L908" s="37"/>
      <c r="M908" s="37"/>
      <c r="N908" s="37"/>
      <c r="O908" s="37"/>
      <c r="P908" s="37"/>
      <c r="Q908" s="37"/>
      <c r="R908" s="37"/>
      <c r="S908" s="37"/>
      <c r="T908" s="37"/>
      <c r="U908" s="37"/>
    </row>
    <row r="909" spans="1:21" ht="15.75" customHeight="1" x14ac:dyDescent="0.2">
      <c r="A909" s="37"/>
      <c r="B909" s="37"/>
      <c r="C909" s="20"/>
      <c r="D909" s="20"/>
      <c r="E909" s="20"/>
      <c r="F909" s="20"/>
      <c r="G909" s="20"/>
      <c r="H909" s="37"/>
      <c r="I909" s="37"/>
      <c r="J909" s="37"/>
      <c r="K909" s="37"/>
      <c r="L909" s="37"/>
      <c r="M909" s="37"/>
      <c r="N909" s="37"/>
      <c r="O909" s="37"/>
      <c r="P909" s="37"/>
      <c r="Q909" s="37"/>
      <c r="R909" s="37"/>
      <c r="S909" s="37"/>
      <c r="T909" s="37"/>
      <c r="U909" s="37"/>
    </row>
    <row r="910" spans="1:21" ht="15.75" customHeight="1" x14ac:dyDescent="0.2">
      <c r="A910" s="37"/>
      <c r="B910" s="37"/>
      <c r="C910" s="20"/>
      <c r="D910" s="20"/>
      <c r="E910" s="20"/>
      <c r="F910" s="20"/>
      <c r="G910" s="20"/>
      <c r="H910" s="37"/>
      <c r="I910" s="37"/>
      <c r="J910" s="37"/>
      <c r="K910" s="37"/>
      <c r="L910" s="37"/>
      <c r="M910" s="37"/>
      <c r="N910" s="37"/>
      <c r="O910" s="37"/>
      <c r="P910" s="37"/>
      <c r="Q910" s="37"/>
      <c r="R910" s="37"/>
      <c r="S910" s="37"/>
      <c r="T910" s="37"/>
      <c r="U910" s="37"/>
    </row>
    <row r="911" spans="1:21" ht="15.75" customHeight="1" x14ac:dyDescent="0.2">
      <c r="A911" s="37"/>
      <c r="B911" s="37"/>
      <c r="C911" s="20"/>
      <c r="D911" s="20"/>
      <c r="E911" s="20"/>
      <c r="F911" s="20"/>
      <c r="G911" s="20"/>
      <c r="H911" s="37"/>
      <c r="I911" s="37"/>
      <c r="J911" s="37"/>
      <c r="K911" s="37"/>
      <c r="L911" s="37"/>
      <c r="M911" s="37"/>
      <c r="N911" s="37"/>
      <c r="O911" s="37"/>
      <c r="P911" s="37"/>
      <c r="Q911" s="37"/>
      <c r="R911" s="37"/>
      <c r="S911" s="37"/>
      <c r="T911" s="37"/>
      <c r="U911" s="37"/>
    </row>
    <row r="912" spans="1:21" ht="15.75" customHeight="1" x14ac:dyDescent="0.2">
      <c r="A912" s="37"/>
      <c r="B912" s="37"/>
      <c r="C912" s="20"/>
      <c r="D912" s="20"/>
      <c r="E912" s="20"/>
      <c r="F912" s="20"/>
      <c r="G912" s="20"/>
      <c r="H912" s="37"/>
      <c r="I912" s="37"/>
      <c r="J912" s="37"/>
      <c r="K912" s="37"/>
      <c r="L912" s="37"/>
      <c r="M912" s="37"/>
      <c r="N912" s="37"/>
      <c r="O912" s="37"/>
      <c r="P912" s="37"/>
      <c r="Q912" s="37"/>
      <c r="R912" s="37"/>
      <c r="S912" s="37"/>
      <c r="T912" s="37"/>
      <c r="U912" s="37"/>
    </row>
    <row r="913" spans="1:21" ht="15.75" customHeight="1" x14ac:dyDescent="0.2">
      <c r="A913" s="37"/>
      <c r="B913" s="37"/>
      <c r="C913" s="20"/>
      <c r="D913" s="20"/>
      <c r="E913" s="20"/>
      <c r="F913" s="20"/>
      <c r="G913" s="20"/>
      <c r="H913" s="37"/>
      <c r="I913" s="37"/>
      <c r="J913" s="37"/>
      <c r="K913" s="37"/>
      <c r="L913" s="37"/>
      <c r="M913" s="37"/>
      <c r="N913" s="37"/>
      <c r="O913" s="37"/>
      <c r="P913" s="37"/>
      <c r="Q913" s="37"/>
      <c r="R913" s="37"/>
      <c r="S913" s="37"/>
      <c r="T913" s="37"/>
      <c r="U913" s="37"/>
    </row>
    <row r="914" spans="1:21" ht="15.75" customHeight="1" x14ac:dyDescent="0.2">
      <c r="A914" s="37"/>
      <c r="B914" s="37"/>
      <c r="C914" s="20"/>
      <c r="D914" s="20"/>
      <c r="E914" s="20"/>
      <c r="F914" s="20"/>
      <c r="G914" s="20"/>
      <c r="H914" s="37"/>
      <c r="I914" s="37"/>
      <c r="J914" s="37"/>
      <c r="K914" s="37"/>
      <c r="L914" s="37"/>
      <c r="M914" s="37"/>
      <c r="N914" s="37"/>
      <c r="O914" s="37"/>
      <c r="P914" s="37"/>
      <c r="Q914" s="37"/>
      <c r="R914" s="37"/>
      <c r="S914" s="37"/>
      <c r="T914" s="37"/>
      <c r="U914" s="37"/>
    </row>
    <row r="915" spans="1:21" ht="15.75" customHeight="1" x14ac:dyDescent="0.2">
      <c r="A915" s="37"/>
      <c r="B915" s="37"/>
      <c r="C915" s="20"/>
      <c r="D915" s="20"/>
      <c r="E915" s="20"/>
      <c r="F915" s="20"/>
      <c r="G915" s="20"/>
      <c r="H915" s="37"/>
      <c r="I915" s="37"/>
      <c r="J915" s="37"/>
      <c r="K915" s="37"/>
      <c r="L915" s="37"/>
      <c r="M915" s="37"/>
      <c r="N915" s="37"/>
      <c r="O915" s="37"/>
      <c r="P915" s="37"/>
      <c r="Q915" s="37"/>
      <c r="R915" s="37"/>
      <c r="S915" s="37"/>
      <c r="T915" s="37"/>
      <c r="U915" s="37"/>
    </row>
    <row r="916" spans="1:21" ht="15.75" customHeight="1" x14ac:dyDescent="0.2">
      <c r="A916" s="37"/>
      <c r="B916" s="37"/>
      <c r="C916" s="20"/>
      <c r="D916" s="20"/>
      <c r="E916" s="20"/>
      <c r="F916" s="20"/>
      <c r="G916" s="20"/>
      <c r="H916" s="37"/>
      <c r="I916" s="37"/>
      <c r="J916" s="37"/>
      <c r="K916" s="37"/>
      <c r="L916" s="37"/>
      <c r="M916" s="37"/>
      <c r="N916" s="37"/>
      <c r="O916" s="37"/>
      <c r="P916" s="37"/>
      <c r="Q916" s="37"/>
      <c r="R916" s="37"/>
      <c r="S916" s="37"/>
      <c r="T916" s="37"/>
      <c r="U916" s="37"/>
    </row>
    <row r="917" spans="1:21" ht="15.75" customHeight="1" x14ac:dyDescent="0.2">
      <c r="A917" s="37"/>
      <c r="B917" s="37"/>
      <c r="C917" s="20"/>
      <c r="D917" s="20"/>
      <c r="E917" s="20"/>
      <c r="F917" s="20"/>
      <c r="G917" s="20"/>
      <c r="H917" s="37"/>
      <c r="I917" s="37"/>
      <c r="J917" s="37"/>
      <c r="K917" s="37"/>
      <c r="L917" s="37"/>
      <c r="M917" s="37"/>
      <c r="N917" s="37"/>
      <c r="O917" s="37"/>
      <c r="P917" s="37"/>
      <c r="Q917" s="37"/>
      <c r="R917" s="37"/>
      <c r="S917" s="37"/>
      <c r="T917" s="37"/>
      <c r="U917" s="37"/>
    </row>
    <row r="918" spans="1:21" ht="15.75" customHeight="1" x14ac:dyDescent="0.2">
      <c r="A918" s="37"/>
      <c r="B918" s="37"/>
      <c r="C918" s="20"/>
      <c r="D918" s="20"/>
      <c r="E918" s="20"/>
      <c r="F918" s="20"/>
      <c r="G918" s="20"/>
      <c r="H918" s="37"/>
      <c r="I918" s="37"/>
      <c r="J918" s="37"/>
      <c r="K918" s="37"/>
      <c r="L918" s="37"/>
      <c r="M918" s="37"/>
      <c r="N918" s="37"/>
      <c r="O918" s="37"/>
      <c r="P918" s="37"/>
      <c r="Q918" s="37"/>
      <c r="R918" s="37"/>
      <c r="S918" s="37"/>
      <c r="T918" s="37"/>
      <c r="U918" s="37"/>
    </row>
    <row r="919" spans="1:21" ht="15.75" customHeight="1" x14ac:dyDescent="0.2">
      <c r="A919" s="37"/>
      <c r="B919" s="37"/>
      <c r="C919" s="20"/>
      <c r="D919" s="20"/>
      <c r="E919" s="20"/>
      <c r="F919" s="20"/>
      <c r="G919" s="20"/>
      <c r="H919" s="37"/>
      <c r="I919" s="37"/>
      <c r="J919" s="37"/>
      <c r="K919" s="37"/>
      <c r="L919" s="37"/>
      <c r="M919" s="37"/>
      <c r="N919" s="37"/>
      <c r="O919" s="37"/>
      <c r="P919" s="37"/>
      <c r="Q919" s="37"/>
      <c r="R919" s="37"/>
      <c r="S919" s="37"/>
      <c r="T919" s="37"/>
      <c r="U919" s="37"/>
    </row>
    <row r="920" spans="1:21" ht="15.75" customHeight="1" x14ac:dyDescent="0.2">
      <c r="A920" s="37"/>
      <c r="B920" s="37"/>
      <c r="C920" s="20"/>
      <c r="D920" s="20"/>
      <c r="E920" s="20"/>
      <c r="F920" s="20"/>
      <c r="G920" s="20"/>
      <c r="H920" s="37"/>
      <c r="I920" s="37"/>
      <c r="J920" s="37"/>
      <c r="K920" s="37"/>
      <c r="L920" s="37"/>
      <c r="M920" s="37"/>
      <c r="N920" s="37"/>
      <c r="O920" s="37"/>
      <c r="P920" s="37"/>
      <c r="Q920" s="37"/>
      <c r="R920" s="37"/>
      <c r="S920" s="37"/>
      <c r="T920" s="37"/>
      <c r="U920" s="37"/>
    </row>
    <row r="921" spans="1:21" ht="15.75" customHeight="1" x14ac:dyDescent="0.2">
      <c r="A921" s="37"/>
      <c r="B921" s="37"/>
      <c r="C921" s="20"/>
      <c r="D921" s="20"/>
      <c r="E921" s="20"/>
      <c r="F921" s="20"/>
      <c r="G921" s="20"/>
      <c r="H921" s="37"/>
      <c r="I921" s="37"/>
      <c r="J921" s="37"/>
      <c r="K921" s="37"/>
      <c r="L921" s="37"/>
      <c r="M921" s="37"/>
      <c r="N921" s="37"/>
      <c r="O921" s="37"/>
      <c r="P921" s="37"/>
      <c r="Q921" s="37"/>
      <c r="R921" s="37"/>
      <c r="S921" s="37"/>
      <c r="T921" s="37"/>
      <c r="U921" s="37"/>
    </row>
    <row r="922" spans="1:21" ht="15.75" customHeight="1" x14ac:dyDescent="0.2">
      <c r="A922" s="37"/>
      <c r="B922" s="37"/>
      <c r="C922" s="20"/>
      <c r="D922" s="20"/>
      <c r="E922" s="20"/>
      <c r="F922" s="20"/>
      <c r="G922" s="20"/>
      <c r="H922" s="37"/>
      <c r="I922" s="37"/>
      <c r="J922" s="37"/>
      <c r="K922" s="37"/>
      <c r="L922" s="37"/>
      <c r="M922" s="37"/>
      <c r="N922" s="37"/>
      <c r="O922" s="37"/>
      <c r="P922" s="37"/>
      <c r="Q922" s="37"/>
      <c r="R922" s="37"/>
      <c r="S922" s="37"/>
      <c r="T922" s="37"/>
      <c r="U922" s="37"/>
    </row>
    <row r="923" spans="1:21" ht="15.75" customHeight="1" x14ac:dyDescent="0.2">
      <c r="A923" s="37"/>
      <c r="B923" s="37"/>
      <c r="C923" s="20"/>
      <c r="D923" s="20"/>
      <c r="E923" s="20"/>
      <c r="F923" s="20"/>
      <c r="G923" s="20"/>
      <c r="H923" s="37"/>
      <c r="I923" s="37"/>
      <c r="J923" s="37"/>
      <c r="K923" s="37"/>
      <c r="L923" s="37"/>
      <c r="M923" s="37"/>
      <c r="N923" s="37"/>
      <c r="O923" s="37"/>
      <c r="P923" s="37"/>
      <c r="Q923" s="37"/>
      <c r="R923" s="37"/>
      <c r="S923" s="37"/>
      <c r="T923" s="37"/>
      <c r="U923" s="37"/>
    </row>
    <row r="924" spans="1:21" ht="15.75" customHeight="1" x14ac:dyDescent="0.2">
      <c r="A924" s="37"/>
      <c r="B924" s="37"/>
      <c r="C924" s="20"/>
      <c r="D924" s="20"/>
      <c r="E924" s="20"/>
      <c r="F924" s="20"/>
      <c r="G924" s="20"/>
      <c r="H924" s="37"/>
      <c r="I924" s="37"/>
      <c r="J924" s="37"/>
      <c r="K924" s="37"/>
      <c r="L924" s="37"/>
      <c r="M924" s="37"/>
      <c r="N924" s="37"/>
      <c r="O924" s="37"/>
      <c r="P924" s="37"/>
      <c r="Q924" s="37"/>
      <c r="R924" s="37"/>
      <c r="S924" s="37"/>
      <c r="T924" s="37"/>
      <c r="U924" s="37"/>
    </row>
    <row r="925" spans="1:21" ht="15.75" customHeight="1" x14ac:dyDescent="0.2">
      <c r="A925" s="37"/>
      <c r="B925" s="37"/>
      <c r="C925" s="20"/>
      <c r="D925" s="20"/>
      <c r="E925" s="20"/>
      <c r="F925" s="20"/>
      <c r="G925" s="20"/>
      <c r="H925" s="37"/>
      <c r="I925" s="37"/>
      <c r="J925" s="37"/>
      <c r="K925" s="37"/>
      <c r="L925" s="37"/>
      <c r="M925" s="37"/>
      <c r="N925" s="37"/>
      <c r="O925" s="37"/>
      <c r="P925" s="37"/>
      <c r="Q925" s="37"/>
      <c r="R925" s="37"/>
      <c r="S925" s="37"/>
      <c r="T925" s="37"/>
      <c r="U925" s="37"/>
    </row>
    <row r="926" spans="1:21" ht="15.75" customHeight="1" x14ac:dyDescent="0.2">
      <c r="A926" s="37"/>
      <c r="B926" s="37"/>
      <c r="C926" s="20"/>
      <c r="D926" s="20"/>
      <c r="E926" s="20"/>
      <c r="F926" s="20"/>
      <c r="G926" s="20"/>
      <c r="H926" s="37"/>
      <c r="I926" s="37"/>
      <c r="J926" s="37"/>
      <c r="K926" s="37"/>
      <c r="L926" s="37"/>
      <c r="M926" s="37"/>
      <c r="N926" s="37"/>
      <c r="O926" s="37"/>
      <c r="P926" s="37"/>
      <c r="Q926" s="37"/>
      <c r="R926" s="37"/>
      <c r="S926" s="37"/>
      <c r="T926" s="37"/>
      <c r="U926" s="37"/>
    </row>
    <row r="927" spans="1:21" ht="15.75" customHeight="1" x14ac:dyDescent="0.2">
      <c r="A927" s="37"/>
      <c r="B927" s="37"/>
      <c r="C927" s="20"/>
      <c r="D927" s="20"/>
      <c r="E927" s="20"/>
      <c r="F927" s="20"/>
      <c r="G927" s="20"/>
      <c r="H927" s="37"/>
      <c r="I927" s="37"/>
      <c r="J927" s="37"/>
      <c r="K927" s="37"/>
      <c r="L927" s="37"/>
      <c r="M927" s="37"/>
      <c r="N927" s="37"/>
      <c r="O927" s="37"/>
      <c r="P927" s="37"/>
      <c r="Q927" s="37"/>
      <c r="R927" s="37"/>
      <c r="S927" s="37"/>
      <c r="T927" s="37"/>
      <c r="U927" s="37"/>
    </row>
    <row r="928" spans="1:21" ht="15.75" customHeight="1" x14ac:dyDescent="0.2">
      <c r="A928" s="37"/>
      <c r="B928" s="37"/>
      <c r="C928" s="20"/>
      <c r="D928" s="20"/>
      <c r="E928" s="20"/>
      <c r="F928" s="20"/>
      <c r="G928" s="20"/>
      <c r="H928" s="37"/>
      <c r="I928" s="37"/>
      <c r="J928" s="37"/>
      <c r="K928" s="37"/>
      <c r="L928" s="37"/>
      <c r="M928" s="37"/>
      <c r="N928" s="37"/>
      <c r="O928" s="37"/>
      <c r="P928" s="37"/>
      <c r="Q928" s="37"/>
      <c r="R928" s="37"/>
      <c r="S928" s="37"/>
      <c r="T928" s="37"/>
      <c r="U928" s="37"/>
    </row>
    <row r="929" spans="1:21" ht="15.75" customHeight="1" x14ac:dyDescent="0.2">
      <c r="A929" s="37"/>
      <c r="B929" s="37"/>
      <c r="C929" s="20"/>
      <c r="D929" s="20"/>
      <c r="E929" s="20"/>
      <c r="F929" s="20"/>
      <c r="G929" s="20"/>
      <c r="H929" s="37"/>
      <c r="I929" s="37"/>
      <c r="J929" s="37"/>
      <c r="K929" s="37"/>
      <c r="L929" s="37"/>
      <c r="M929" s="37"/>
      <c r="N929" s="37"/>
      <c r="O929" s="37"/>
      <c r="P929" s="37"/>
      <c r="Q929" s="37"/>
      <c r="R929" s="37"/>
      <c r="S929" s="37"/>
      <c r="T929" s="37"/>
      <c r="U929" s="37"/>
    </row>
    <row r="930" spans="1:21" ht="15.75" customHeight="1" x14ac:dyDescent="0.2">
      <c r="A930" s="37"/>
      <c r="B930" s="37"/>
      <c r="C930" s="20"/>
      <c r="D930" s="20"/>
      <c r="E930" s="20"/>
      <c r="F930" s="20"/>
      <c r="G930" s="20"/>
      <c r="H930" s="37"/>
      <c r="I930" s="37"/>
      <c r="J930" s="37"/>
      <c r="K930" s="37"/>
      <c r="L930" s="37"/>
      <c r="M930" s="37"/>
      <c r="N930" s="37"/>
      <c r="O930" s="37"/>
      <c r="P930" s="37"/>
      <c r="Q930" s="37"/>
      <c r="R930" s="37"/>
      <c r="S930" s="37"/>
      <c r="T930" s="37"/>
      <c r="U930" s="37"/>
    </row>
    <row r="931" spans="1:21" ht="15.75" customHeight="1" x14ac:dyDescent="0.2">
      <c r="A931" s="37"/>
      <c r="B931" s="37"/>
      <c r="C931" s="20"/>
      <c r="D931" s="20"/>
      <c r="E931" s="20"/>
      <c r="F931" s="20"/>
      <c r="G931" s="20"/>
      <c r="H931" s="37"/>
      <c r="I931" s="37"/>
      <c r="J931" s="37"/>
      <c r="K931" s="37"/>
      <c r="L931" s="37"/>
      <c r="M931" s="37"/>
      <c r="N931" s="37"/>
      <c r="O931" s="37"/>
      <c r="P931" s="37"/>
      <c r="Q931" s="37"/>
      <c r="R931" s="37"/>
      <c r="S931" s="37"/>
      <c r="T931" s="37"/>
      <c r="U931" s="37"/>
    </row>
    <row r="932" spans="1:21" ht="15.75" customHeight="1" x14ac:dyDescent="0.2">
      <c r="A932" s="37"/>
      <c r="B932" s="37"/>
      <c r="C932" s="20"/>
      <c r="D932" s="20"/>
      <c r="E932" s="20"/>
      <c r="F932" s="20"/>
      <c r="G932" s="20"/>
      <c r="H932" s="37"/>
      <c r="I932" s="37"/>
      <c r="J932" s="37"/>
      <c r="K932" s="37"/>
      <c r="L932" s="37"/>
      <c r="M932" s="37"/>
      <c r="N932" s="37"/>
      <c r="O932" s="37"/>
      <c r="P932" s="37"/>
      <c r="Q932" s="37"/>
      <c r="R932" s="37"/>
      <c r="S932" s="37"/>
      <c r="T932" s="37"/>
      <c r="U932" s="37"/>
    </row>
    <row r="933" spans="1:21" ht="15.75" customHeight="1" x14ac:dyDescent="0.2">
      <c r="A933" s="37"/>
      <c r="B933" s="37"/>
      <c r="C933" s="20"/>
      <c r="D933" s="20"/>
      <c r="E933" s="20"/>
      <c r="F933" s="20"/>
      <c r="G933" s="20"/>
      <c r="H933" s="37"/>
      <c r="I933" s="37"/>
      <c r="J933" s="37"/>
      <c r="K933" s="37"/>
      <c r="L933" s="37"/>
      <c r="M933" s="37"/>
      <c r="N933" s="37"/>
      <c r="O933" s="37"/>
      <c r="P933" s="37"/>
      <c r="Q933" s="37"/>
      <c r="R933" s="37"/>
      <c r="S933" s="37"/>
      <c r="T933" s="37"/>
      <c r="U933" s="37"/>
    </row>
    <row r="934" spans="1:21" ht="15.75" customHeight="1" x14ac:dyDescent="0.2">
      <c r="A934" s="37"/>
      <c r="B934" s="37"/>
      <c r="C934" s="20"/>
      <c r="D934" s="20"/>
      <c r="E934" s="20"/>
      <c r="F934" s="20"/>
      <c r="G934" s="20"/>
      <c r="H934" s="37"/>
      <c r="I934" s="37"/>
      <c r="J934" s="37"/>
      <c r="K934" s="37"/>
      <c r="L934" s="37"/>
      <c r="M934" s="37"/>
      <c r="N934" s="37"/>
      <c r="O934" s="37"/>
      <c r="P934" s="37"/>
      <c r="Q934" s="37"/>
      <c r="R934" s="37"/>
      <c r="S934" s="37"/>
      <c r="T934" s="37"/>
      <c r="U934" s="37"/>
    </row>
    <row r="935" spans="1:21" ht="15.75" customHeight="1" x14ac:dyDescent="0.2">
      <c r="A935" s="37"/>
      <c r="B935" s="37"/>
      <c r="C935" s="20"/>
      <c r="D935" s="20"/>
      <c r="E935" s="20"/>
      <c r="F935" s="20"/>
      <c r="G935" s="20"/>
      <c r="H935" s="37"/>
      <c r="I935" s="37"/>
      <c r="J935" s="37"/>
      <c r="K935" s="37"/>
      <c r="L935" s="37"/>
      <c r="M935" s="37"/>
      <c r="N935" s="37"/>
      <c r="O935" s="37"/>
      <c r="P935" s="37"/>
      <c r="Q935" s="37"/>
      <c r="R935" s="37"/>
      <c r="S935" s="37"/>
      <c r="T935" s="37"/>
      <c r="U935" s="37"/>
    </row>
    <row r="936" spans="1:21" ht="15.75" customHeight="1" x14ac:dyDescent="0.2">
      <c r="A936" s="37"/>
      <c r="B936" s="37"/>
      <c r="C936" s="20"/>
      <c r="D936" s="20"/>
      <c r="E936" s="20"/>
      <c r="F936" s="20"/>
      <c r="G936" s="20"/>
      <c r="H936" s="37"/>
      <c r="I936" s="37"/>
      <c r="J936" s="37"/>
      <c r="K936" s="37"/>
      <c r="L936" s="37"/>
      <c r="M936" s="37"/>
      <c r="N936" s="37"/>
      <c r="O936" s="37"/>
      <c r="P936" s="37"/>
      <c r="Q936" s="37"/>
      <c r="R936" s="37"/>
      <c r="S936" s="37"/>
      <c r="T936" s="37"/>
      <c r="U936" s="37"/>
    </row>
    <row r="937" spans="1:21" ht="15.75" customHeight="1" x14ac:dyDescent="0.2">
      <c r="A937" s="37"/>
      <c r="B937" s="37"/>
      <c r="C937" s="20"/>
      <c r="D937" s="20"/>
      <c r="E937" s="20"/>
      <c r="F937" s="20"/>
      <c r="G937" s="20"/>
      <c r="H937" s="37"/>
      <c r="I937" s="37"/>
      <c r="J937" s="37"/>
      <c r="K937" s="37"/>
      <c r="L937" s="37"/>
      <c r="M937" s="37"/>
      <c r="N937" s="37"/>
      <c r="O937" s="37"/>
      <c r="P937" s="37"/>
      <c r="Q937" s="37"/>
      <c r="R937" s="37"/>
      <c r="S937" s="37"/>
      <c r="T937" s="37"/>
      <c r="U937" s="37"/>
    </row>
    <row r="938" spans="1:21" ht="15.75" customHeight="1" x14ac:dyDescent="0.2">
      <c r="A938" s="37"/>
      <c r="B938" s="37"/>
      <c r="C938" s="20"/>
      <c r="D938" s="20"/>
      <c r="E938" s="20"/>
      <c r="F938" s="20"/>
      <c r="G938" s="20"/>
      <c r="H938" s="37"/>
      <c r="I938" s="37"/>
      <c r="J938" s="37"/>
      <c r="K938" s="37"/>
      <c r="L938" s="37"/>
      <c r="M938" s="37"/>
      <c r="N938" s="37"/>
      <c r="O938" s="37"/>
      <c r="P938" s="37"/>
      <c r="Q938" s="37"/>
      <c r="R938" s="37"/>
      <c r="S938" s="37"/>
      <c r="T938" s="37"/>
      <c r="U938" s="37"/>
    </row>
    <row r="939" spans="1:21" ht="15.75" customHeight="1" x14ac:dyDescent="0.2">
      <c r="A939" s="37"/>
      <c r="B939" s="37"/>
      <c r="C939" s="20"/>
      <c r="D939" s="20"/>
      <c r="E939" s="20"/>
      <c r="F939" s="20"/>
      <c r="G939" s="20"/>
      <c r="H939" s="37"/>
      <c r="I939" s="37"/>
      <c r="J939" s="37"/>
      <c r="K939" s="37"/>
      <c r="L939" s="37"/>
      <c r="M939" s="37"/>
      <c r="N939" s="37"/>
      <c r="O939" s="37"/>
      <c r="P939" s="37"/>
      <c r="Q939" s="37"/>
      <c r="R939" s="37"/>
      <c r="S939" s="37"/>
      <c r="T939" s="37"/>
      <c r="U939" s="37"/>
    </row>
    <row r="940" spans="1:21" ht="15.75" customHeight="1" x14ac:dyDescent="0.2">
      <c r="A940" s="37"/>
      <c r="B940" s="37"/>
      <c r="C940" s="20"/>
      <c r="D940" s="20"/>
      <c r="E940" s="20"/>
      <c r="F940" s="20"/>
      <c r="G940" s="20"/>
      <c r="H940" s="37"/>
      <c r="I940" s="37"/>
      <c r="J940" s="37"/>
      <c r="K940" s="37"/>
      <c r="L940" s="37"/>
      <c r="M940" s="37"/>
      <c r="N940" s="37"/>
      <c r="O940" s="37"/>
      <c r="P940" s="37"/>
      <c r="Q940" s="37"/>
      <c r="R940" s="37"/>
      <c r="S940" s="37"/>
      <c r="T940" s="37"/>
      <c r="U940" s="37"/>
    </row>
    <row r="941" spans="1:21" ht="15.75" customHeight="1" x14ac:dyDescent="0.2">
      <c r="A941" s="37"/>
      <c r="B941" s="37"/>
      <c r="C941" s="20"/>
      <c r="D941" s="20"/>
      <c r="E941" s="20"/>
      <c r="F941" s="20"/>
      <c r="G941" s="20"/>
      <c r="H941" s="37"/>
      <c r="I941" s="37"/>
      <c r="J941" s="37"/>
      <c r="K941" s="37"/>
      <c r="L941" s="37"/>
      <c r="M941" s="37"/>
      <c r="N941" s="37"/>
      <c r="O941" s="37"/>
      <c r="P941" s="37"/>
      <c r="Q941" s="37"/>
      <c r="R941" s="37"/>
      <c r="S941" s="37"/>
      <c r="T941" s="37"/>
      <c r="U941" s="37"/>
    </row>
    <row r="942" spans="1:21" ht="15.75" customHeight="1" x14ac:dyDescent="0.2">
      <c r="A942" s="37"/>
      <c r="B942" s="37"/>
      <c r="C942" s="20"/>
      <c r="D942" s="20"/>
      <c r="E942" s="20"/>
      <c r="F942" s="20"/>
      <c r="G942" s="20"/>
      <c r="H942" s="37"/>
      <c r="I942" s="37"/>
      <c r="J942" s="37"/>
      <c r="K942" s="37"/>
      <c r="L942" s="37"/>
      <c r="M942" s="37"/>
      <c r="N942" s="37"/>
      <c r="O942" s="37"/>
      <c r="P942" s="37"/>
      <c r="Q942" s="37"/>
      <c r="R942" s="37"/>
      <c r="S942" s="37"/>
      <c r="T942" s="37"/>
      <c r="U942" s="37"/>
    </row>
    <row r="943" spans="1:21" ht="15.75" customHeight="1" x14ac:dyDescent="0.2">
      <c r="A943" s="37"/>
      <c r="B943" s="37"/>
      <c r="C943" s="20"/>
      <c r="D943" s="20"/>
      <c r="E943" s="20"/>
      <c r="F943" s="20"/>
      <c r="G943" s="20"/>
      <c r="H943" s="37"/>
      <c r="I943" s="37"/>
      <c r="J943" s="37"/>
      <c r="K943" s="37"/>
      <c r="L943" s="37"/>
      <c r="M943" s="37"/>
      <c r="N943" s="37"/>
      <c r="O943" s="37"/>
      <c r="P943" s="37"/>
      <c r="Q943" s="37"/>
      <c r="R943" s="37"/>
      <c r="S943" s="37"/>
      <c r="T943" s="37"/>
      <c r="U943" s="37"/>
    </row>
    <row r="944" spans="1:21" ht="15.75" customHeight="1" x14ac:dyDescent="0.2">
      <c r="A944" s="37"/>
      <c r="B944" s="37"/>
      <c r="C944" s="20"/>
      <c r="D944" s="20"/>
      <c r="E944" s="20"/>
      <c r="F944" s="20"/>
      <c r="G944" s="20"/>
      <c r="H944" s="37"/>
      <c r="I944" s="37"/>
      <c r="J944" s="37"/>
      <c r="K944" s="37"/>
      <c r="L944" s="37"/>
      <c r="M944" s="37"/>
      <c r="N944" s="37"/>
      <c r="O944" s="37"/>
      <c r="P944" s="37"/>
      <c r="Q944" s="37"/>
      <c r="R944" s="37"/>
      <c r="S944" s="37"/>
      <c r="T944" s="37"/>
      <c r="U944" s="37"/>
    </row>
    <row r="945" spans="1:21" ht="15.75" customHeight="1" x14ac:dyDescent="0.2">
      <c r="A945" s="37"/>
      <c r="B945" s="37"/>
      <c r="C945" s="20"/>
      <c r="D945" s="20"/>
      <c r="E945" s="20"/>
      <c r="F945" s="20"/>
      <c r="G945" s="20"/>
      <c r="H945" s="37"/>
      <c r="I945" s="37"/>
      <c r="J945" s="37"/>
      <c r="K945" s="37"/>
      <c r="L945" s="37"/>
      <c r="M945" s="37"/>
      <c r="N945" s="37"/>
      <c r="O945" s="37"/>
      <c r="P945" s="37"/>
      <c r="Q945" s="37"/>
      <c r="R945" s="37"/>
      <c r="S945" s="37"/>
      <c r="T945" s="37"/>
      <c r="U945" s="37"/>
    </row>
    <row r="946" spans="1:21" ht="15.75" customHeight="1" x14ac:dyDescent="0.2">
      <c r="A946" s="37"/>
      <c r="B946" s="37"/>
      <c r="C946" s="20"/>
      <c r="D946" s="20"/>
      <c r="E946" s="20"/>
      <c r="F946" s="20"/>
      <c r="G946" s="20"/>
      <c r="H946" s="37"/>
      <c r="I946" s="37"/>
      <c r="J946" s="37"/>
      <c r="K946" s="37"/>
      <c r="L946" s="37"/>
      <c r="M946" s="37"/>
      <c r="N946" s="37"/>
      <c r="O946" s="37"/>
      <c r="P946" s="37"/>
      <c r="Q946" s="37"/>
      <c r="R946" s="37"/>
      <c r="S946" s="37"/>
      <c r="T946" s="37"/>
      <c r="U946" s="37"/>
    </row>
    <row r="947" spans="1:21" ht="15.75" customHeight="1" x14ac:dyDescent="0.2">
      <c r="A947" s="37"/>
      <c r="B947" s="37"/>
      <c r="C947" s="20"/>
      <c r="D947" s="20"/>
      <c r="E947" s="20"/>
      <c r="F947" s="20"/>
      <c r="G947" s="20"/>
      <c r="H947" s="37"/>
      <c r="I947" s="37"/>
      <c r="J947" s="37"/>
      <c r="K947" s="37"/>
      <c r="L947" s="37"/>
      <c r="M947" s="37"/>
      <c r="N947" s="37"/>
      <c r="O947" s="37"/>
      <c r="P947" s="37"/>
      <c r="Q947" s="37"/>
      <c r="R947" s="37"/>
      <c r="S947" s="37"/>
      <c r="T947" s="37"/>
      <c r="U947" s="37"/>
    </row>
    <row r="948" spans="1:21" ht="15.75" customHeight="1" x14ac:dyDescent="0.2">
      <c r="A948" s="37"/>
      <c r="B948" s="37"/>
      <c r="C948" s="20"/>
      <c r="D948" s="20"/>
      <c r="E948" s="20"/>
      <c r="F948" s="20"/>
      <c r="G948" s="20"/>
      <c r="H948" s="37"/>
      <c r="I948" s="37"/>
      <c r="J948" s="37"/>
      <c r="K948" s="37"/>
      <c r="L948" s="37"/>
      <c r="M948" s="37"/>
      <c r="N948" s="37"/>
      <c r="O948" s="37"/>
      <c r="P948" s="37"/>
      <c r="Q948" s="37"/>
      <c r="R948" s="37"/>
      <c r="S948" s="37"/>
      <c r="T948" s="37"/>
      <c r="U948" s="37"/>
    </row>
    <row r="949" spans="1:21" ht="15.75" customHeight="1" x14ac:dyDescent="0.2">
      <c r="A949" s="37"/>
      <c r="B949" s="37"/>
      <c r="C949" s="20"/>
      <c r="D949" s="20"/>
      <c r="E949" s="20"/>
      <c r="F949" s="20"/>
      <c r="G949" s="20"/>
      <c r="H949" s="37"/>
      <c r="I949" s="37"/>
      <c r="J949" s="37"/>
      <c r="K949" s="37"/>
      <c r="L949" s="37"/>
      <c r="M949" s="37"/>
      <c r="N949" s="37"/>
      <c r="O949" s="37"/>
      <c r="P949" s="37"/>
      <c r="Q949" s="37"/>
      <c r="R949" s="37"/>
      <c r="S949" s="37"/>
      <c r="T949" s="37"/>
      <c r="U949" s="37"/>
    </row>
    <row r="950" spans="1:21" ht="15.75" customHeight="1" x14ac:dyDescent="0.2">
      <c r="A950" s="37"/>
      <c r="B950" s="37"/>
      <c r="C950" s="20"/>
      <c r="D950" s="20"/>
      <c r="E950" s="20"/>
      <c r="F950" s="20"/>
      <c r="G950" s="20"/>
      <c r="H950" s="37"/>
      <c r="I950" s="37"/>
      <c r="J950" s="37"/>
      <c r="K950" s="37"/>
      <c r="L950" s="37"/>
      <c r="M950" s="37"/>
      <c r="N950" s="37"/>
      <c r="O950" s="37"/>
      <c r="P950" s="37"/>
      <c r="Q950" s="37"/>
      <c r="R950" s="37"/>
      <c r="S950" s="37"/>
      <c r="T950" s="37"/>
      <c r="U950" s="37"/>
    </row>
    <row r="951" spans="1:21" ht="15.75" customHeight="1" x14ac:dyDescent="0.2">
      <c r="A951" s="37"/>
      <c r="B951" s="37"/>
      <c r="C951" s="20"/>
      <c r="D951" s="20"/>
      <c r="E951" s="20"/>
      <c r="F951" s="20"/>
      <c r="G951" s="20"/>
      <c r="H951" s="37"/>
      <c r="I951" s="37"/>
      <c r="J951" s="37"/>
      <c r="K951" s="37"/>
      <c r="L951" s="37"/>
      <c r="M951" s="37"/>
      <c r="N951" s="37"/>
      <c r="O951" s="37"/>
      <c r="P951" s="37"/>
      <c r="Q951" s="37"/>
      <c r="R951" s="37"/>
      <c r="S951" s="37"/>
      <c r="T951" s="37"/>
      <c r="U951" s="37"/>
    </row>
    <row r="952" spans="1:21" ht="15.75" customHeight="1" x14ac:dyDescent="0.2">
      <c r="A952" s="37"/>
      <c r="B952" s="37"/>
      <c r="C952" s="20"/>
      <c r="D952" s="20"/>
      <c r="E952" s="20"/>
      <c r="F952" s="20"/>
      <c r="G952" s="20"/>
      <c r="H952" s="37"/>
      <c r="I952" s="37"/>
      <c r="J952" s="37"/>
      <c r="K952" s="37"/>
      <c r="L952" s="37"/>
      <c r="M952" s="37"/>
      <c r="N952" s="37"/>
      <c r="O952" s="37"/>
      <c r="P952" s="37"/>
      <c r="Q952" s="37"/>
      <c r="R952" s="37"/>
      <c r="S952" s="37"/>
      <c r="T952" s="37"/>
      <c r="U952" s="37"/>
    </row>
    <row r="953" spans="1:21" ht="15.75" customHeight="1" x14ac:dyDescent="0.2">
      <c r="A953" s="37"/>
      <c r="B953" s="37"/>
      <c r="C953" s="20"/>
      <c r="D953" s="20"/>
      <c r="E953" s="20"/>
      <c r="F953" s="20"/>
      <c r="G953" s="20"/>
      <c r="H953" s="37"/>
      <c r="I953" s="37"/>
      <c r="J953" s="37"/>
      <c r="K953" s="37"/>
      <c r="L953" s="37"/>
      <c r="M953" s="37"/>
      <c r="N953" s="37"/>
      <c r="O953" s="37"/>
      <c r="P953" s="37"/>
      <c r="Q953" s="37"/>
      <c r="R953" s="37"/>
      <c r="S953" s="37"/>
      <c r="T953" s="37"/>
      <c r="U953" s="37"/>
    </row>
    <row r="954" spans="1:21" ht="15.75" customHeight="1" x14ac:dyDescent="0.2">
      <c r="A954" s="37"/>
      <c r="B954" s="37"/>
      <c r="C954" s="20"/>
      <c r="D954" s="20"/>
      <c r="E954" s="20"/>
      <c r="F954" s="20"/>
      <c r="G954" s="20"/>
      <c r="H954" s="37"/>
      <c r="I954" s="37"/>
      <c r="J954" s="37"/>
      <c r="K954" s="37"/>
      <c r="L954" s="37"/>
      <c r="M954" s="37"/>
      <c r="N954" s="37"/>
      <c r="O954" s="37"/>
      <c r="P954" s="37"/>
      <c r="Q954" s="37"/>
      <c r="R954" s="37"/>
      <c r="S954" s="37"/>
      <c r="T954" s="37"/>
      <c r="U954" s="37"/>
    </row>
    <row r="955" spans="1:21" ht="15.75" customHeight="1" x14ac:dyDescent="0.2">
      <c r="A955" s="37"/>
      <c r="B955" s="37"/>
      <c r="C955" s="20"/>
      <c r="D955" s="20"/>
      <c r="E955" s="20"/>
      <c r="F955" s="20"/>
      <c r="G955" s="20"/>
      <c r="H955" s="37"/>
      <c r="I955" s="37"/>
      <c r="J955" s="37"/>
      <c r="K955" s="37"/>
      <c r="L955" s="37"/>
      <c r="M955" s="37"/>
      <c r="N955" s="37"/>
      <c r="O955" s="37"/>
      <c r="P955" s="37"/>
      <c r="Q955" s="37"/>
      <c r="R955" s="37"/>
      <c r="S955" s="37"/>
      <c r="T955" s="37"/>
      <c r="U955" s="37"/>
    </row>
    <row r="956" spans="1:21" ht="15.75" customHeight="1" x14ac:dyDescent="0.2">
      <c r="A956" s="37"/>
      <c r="B956" s="37"/>
      <c r="C956" s="20"/>
      <c r="D956" s="20"/>
      <c r="E956" s="20"/>
      <c r="F956" s="20"/>
      <c r="G956" s="20"/>
      <c r="H956" s="37"/>
      <c r="I956" s="37"/>
      <c r="J956" s="37"/>
      <c r="K956" s="37"/>
      <c r="L956" s="37"/>
      <c r="M956" s="37"/>
      <c r="N956" s="37"/>
      <c r="O956" s="37"/>
      <c r="P956" s="37"/>
      <c r="Q956" s="37"/>
      <c r="R956" s="37"/>
      <c r="S956" s="37"/>
      <c r="T956" s="37"/>
      <c r="U956" s="37"/>
    </row>
    <row r="957" spans="1:21" ht="15.75" customHeight="1" x14ac:dyDescent="0.2">
      <c r="A957" s="37"/>
      <c r="B957" s="37"/>
      <c r="C957" s="20"/>
      <c r="D957" s="20"/>
      <c r="E957" s="20"/>
      <c r="F957" s="20"/>
      <c r="G957" s="20"/>
      <c r="H957" s="37"/>
      <c r="I957" s="37"/>
      <c r="J957" s="37"/>
      <c r="K957" s="37"/>
      <c r="L957" s="37"/>
      <c r="M957" s="37"/>
      <c r="N957" s="37"/>
      <c r="O957" s="37"/>
      <c r="P957" s="37"/>
      <c r="Q957" s="37"/>
      <c r="R957" s="37"/>
      <c r="S957" s="37"/>
      <c r="T957" s="37"/>
      <c r="U957" s="37"/>
    </row>
    <row r="958" spans="1:21" ht="15.75" customHeight="1" x14ac:dyDescent="0.2">
      <c r="A958" s="37"/>
      <c r="B958" s="37"/>
      <c r="C958" s="20"/>
      <c r="D958" s="20"/>
      <c r="E958" s="20"/>
      <c r="F958" s="20"/>
      <c r="G958" s="20"/>
      <c r="H958" s="37"/>
      <c r="I958" s="37"/>
      <c r="J958" s="37"/>
      <c r="K958" s="37"/>
      <c r="L958" s="37"/>
      <c r="M958" s="37"/>
      <c r="N958" s="37"/>
      <c r="O958" s="37"/>
      <c r="P958" s="37"/>
      <c r="Q958" s="37"/>
      <c r="R958" s="37"/>
      <c r="S958" s="37"/>
      <c r="T958" s="37"/>
      <c r="U958" s="37"/>
    </row>
    <row r="959" spans="1:21" ht="15.75" customHeight="1" x14ac:dyDescent="0.2">
      <c r="A959" s="37"/>
      <c r="B959" s="37"/>
      <c r="C959" s="20"/>
      <c r="D959" s="20"/>
      <c r="E959" s="20"/>
      <c r="F959" s="20"/>
      <c r="G959" s="20"/>
      <c r="H959" s="37"/>
      <c r="I959" s="37"/>
      <c r="J959" s="37"/>
      <c r="K959" s="37"/>
      <c r="L959" s="37"/>
      <c r="M959" s="37"/>
      <c r="N959" s="37"/>
      <c r="O959" s="37"/>
      <c r="P959" s="37"/>
      <c r="Q959" s="37"/>
      <c r="R959" s="37"/>
      <c r="S959" s="37"/>
      <c r="T959" s="37"/>
      <c r="U959" s="37"/>
    </row>
    <row r="960" spans="1:21" ht="15.75" customHeight="1" x14ac:dyDescent="0.2">
      <c r="A960" s="37"/>
      <c r="B960" s="37"/>
      <c r="C960" s="20"/>
      <c r="D960" s="20"/>
      <c r="E960" s="20"/>
      <c r="F960" s="20"/>
      <c r="G960" s="20"/>
      <c r="H960" s="37"/>
      <c r="I960" s="37"/>
      <c r="J960" s="37"/>
      <c r="K960" s="37"/>
      <c r="L960" s="37"/>
      <c r="M960" s="37"/>
      <c r="N960" s="37"/>
      <c r="O960" s="37"/>
      <c r="P960" s="37"/>
      <c r="Q960" s="37"/>
      <c r="R960" s="37"/>
      <c r="S960" s="37"/>
      <c r="T960" s="37"/>
      <c r="U960" s="37"/>
    </row>
    <row r="961" spans="1:21" ht="15.75" customHeight="1" x14ac:dyDescent="0.2">
      <c r="A961" s="37"/>
      <c r="B961" s="37"/>
      <c r="C961" s="20"/>
      <c r="D961" s="20"/>
      <c r="E961" s="20"/>
      <c r="F961" s="20"/>
      <c r="G961" s="20"/>
      <c r="H961" s="37"/>
      <c r="I961" s="37"/>
      <c r="J961" s="37"/>
      <c r="K961" s="37"/>
      <c r="L961" s="37"/>
      <c r="M961" s="37"/>
      <c r="N961" s="37"/>
      <c r="O961" s="37"/>
      <c r="P961" s="37"/>
      <c r="Q961" s="37"/>
      <c r="R961" s="37"/>
      <c r="S961" s="37"/>
      <c r="T961" s="37"/>
      <c r="U961" s="37"/>
    </row>
    <row r="962" spans="1:21" ht="15.75" customHeight="1" x14ac:dyDescent="0.2">
      <c r="A962" s="37"/>
      <c r="B962" s="37"/>
      <c r="C962" s="20"/>
      <c r="D962" s="20"/>
      <c r="E962" s="20"/>
      <c r="F962" s="20"/>
      <c r="G962" s="20"/>
      <c r="H962" s="37"/>
      <c r="I962" s="37"/>
      <c r="J962" s="37"/>
      <c r="K962" s="37"/>
      <c r="L962" s="37"/>
      <c r="M962" s="37"/>
      <c r="N962" s="37"/>
      <c r="O962" s="37"/>
      <c r="P962" s="37"/>
      <c r="Q962" s="37"/>
      <c r="R962" s="37"/>
      <c r="S962" s="37"/>
      <c r="T962" s="37"/>
      <c r="U962" s="37"/>
    </row>
    <row r="963" spans="1:21" ht="15.75" customHeight="1" x14ac:dyDescent="0.2">
      <c r="A963" s="37"/>
      <c r="B963" s="37"/>
      <c r="C963" s="20"/>
      <c r="D963" s="20"/>
      <c r="E963" s="20"/>
      <c r="F963" s="20"/>
      <c r="G963" s="20"/>
      <c r="H963" s="37"/>
      <c r="I963" s="37"/>
      <c r="J963" s="37"/>
      <c r="K963" s="37"/>
      <c r="L963" s="37"/>
      <c r="M963" s="37"/>
      <c r="N963" s="37"/>
      <c r="O963" s="37"/>
      <c r="P963" s="37"/>
      <c r="Q963" s="37"/>
      <c r="R963" s="37"/>
      <c r="S963" s="37"/>
      <c r="T963" s="37"/>
      <c r="U963" s="37"/>
    </row>
    <row r="964" spans="1:21" ht="15.75" customHeight="1" x14ac:dyDescent="0.2">
      <c r="A964" s="37"/>
      <c r="B964" s="37"/>
      <c r="C964" s="20"/>
      <c r="D964" s="20"/>
      <c r="E964" s="20"/>
      <c r="F964" s="20"/>
      <c r="G964" s="20"/>
      <c r="H964" s="37"/>
      <c r="I964" s="37"/>
      <c r="J964" s="37"/>
      <c r="K964" s="37"/>
      <c r="L964" s="37"/>
      <c r="M964" s="37"/>
      <c r="N964" s="37"/>
      <c r="O964" s="37"/>
      <c r="P964" s="37"/>
      <c r="Q964" s="37"/>
      <c r="R964" s="37"/>
      <c r="S964" s="37"/>
      <c r="T964" s="37"/>
      <c r="U964" s="37"/>
    </row>
    <row r="965" spans="1:21" ht="15.75" customHeight="1" x14ac:dyDescent="0.2">
      <c r="A965" s="37"/>
      <c r="B965" s="37"/>
      <c r="C965" s="20"/>
      <c r="D965" s="20"/>
      <c r="E965" s="20"/>
      <c r="F965" s="20"/>
      <c r="G965" s="20"/>
      <c r="H965" s="37"/>
      <c r="I965" s="37"/>
      <c r="J965" s="37"/>
      <c r="K965" s="37"/>
      <c r="L965" s="37"/>
      <c r="M965" s="37"/>
      <c r="N965" s="37"/>
      <c r="O965" s="37"/>
      <c r="P965" s="37"/>
      <c r="Q965" s="37"/>
      <c r="R965" s="37"/>
      <c r="S965" s="37"/>
      <c r="T965" s="37"/>
      <c r="U965" s="37"/>
    </row>
    <row r="966" spans="1:21" ht="15.75" customHeight="1" x14ac:dyDescent="0.2">
      <c r="A966" s="37"/>
      <c r="B966" s="37"/>
      <c r="C966" s="20"/>
      <c r="D966" s="20"/>
      <c r="E966" s="20"/>
      <c r="F966" s="20"/>
      <c r="G966" s="20"/>
      <c r="H966" s="37"/>
      <c r="I966" s="37"/>
      <c r="J966" s="37"/>
      <c r="K966" s="37"/>
      <c r="L966" s="37"/>
      <c r="M966" s="37"/>
      <c r="N966" s="37"/>
      <c r="O966" s="37"/>
      <c r="P966" s="37"/>
      <c r="Q966" s="37"/>
      <c r="R966" s="37"/>
      <c r="S966" s="37"/>
      <c r="T966" s="37"/>
      <c r="U966" s="37"/>
    </row>
    <row r="967" spans="1:21" ht="15.75" customHeight="1" x14ac:dyDescent="0.2">
      <c r="A967" s="37"/>
      <c r="B967" s="37"/>
      <c r="C967" s="20"/>
      <c r="D967" s="20"/>
      <c r="E967" s="20"/>
      <c r="F967" s="20"/>
      <c r="G967" s="20"/>
      <c r="H967" s="37"/>
      <c r="I967" s="37"/>
      <c r="J967" s="37"/>
      <c r="K967" s="37"/>
      <c r="L967" s="37"/>
      <c r="M967" s="37"/>
      <c r="N967" s="37"/>
      <c r="O967" s="37"/>
      <c r="P967" s="37"/>
      <c r="Q967" s="37"/>
      <c r="R967" s="37"/>
      <c r="S967" s="37"/>
      <c r="T967" s="37"/>
      <c r="U967" s="37"/>
    </row>
    <row r="968" spans="1:21" ht="15.75" customHeight="1" x14ac:dyDescent="0.2">
      <c r="A968" s="37"/>
      <c r="B968" s="37"/>
      <c r="C968" s="20"/>
      <c r="D968" s="20"/>
      <c r="E968" s="20"/>
      <c r="F968" s="20"/>
      <c r="G968" s="20"/>
      <c r="H968" s="37"/>
      <c r="I968" s="37"/>
      <c r="J968" s="37"/>
      <c r="K968" s="37"/>
      <c r="L968" s="37"/>
      <c r="M968" s="37"/>
      <c r="N968" s="37"/>
      <c r="O968" s="37"/>
      <c r="P968" s="37"/>
      <c r="Q968" s="37"/>
      <c r="R968" s="37"/>
      <c r="S968" s="37"/>
      <c r="T968" s="37"/>
      <c r="U968" s="37"/>
    </row>
    <row r="969" spans="1:21" ht="15.75" customHeight="1" x14ac:dyDescent="0.2">
      <c r="A969" s="37"/>
      <c r="B969" s="37"/>
      <c r="C969" s="20"/>
      <c r="D969" s="20"/>
      <c r="E969" s="20"/>
      <c r="F969" s="20"/>
      <c r="G969" s="20"/>
      <c r="H969" s="37"/>
      <c r="I969" s="37"/>
      <c r="J969" s="37"/>
      <c r="K969" s="37"/>
      <c r="L969" s="37"/>
      <c r="M969" s="37"/>
      <c r="N969" s="37"/>
      <c r="O969" s="37"/>
      <c r="P969" s="37"/>
      <c r="Q969" s="37"/>
      <c r="R969" s="37"/>
      <c r="S969" s="37"/>
      <c r="T969" s="37"/>
      <c r="U969" s="37"/>
    </row>
    <row r="970" spans="1:21" ht="15.75" customHeight="1" x14ac:dyDescent="0.2">
      <c r="A970" s="37"/>
      <c r="B970" s="37"/>
      <c r="C970" s="20"/>
      <c r="D970" s="20"/>
      <c r="E970" s="20"/>
      <c r="F970" s="20"/>
      <c r="G970" s="20"/>
      <c r="H970" s="37"/>
      <c r="I970" s="37"/>
      <c r="J970" s="37"/>
      <c r="K970" s="37"/>
      <c r="L970" s="37"/>
      <c r="M970" s="37"/>
      <c r="N970" s="37"/>
      <c r="O970" s="37"/>
      <c r="P970" s="37"/>
      <c r="Q970" s="37"/>
      <c r="R970" s="37"/>
      <c r="S970" s="37"/>
      <c r="T970" s="37"/>
      <c r="U970" s="37"/>
    </row>
    <row r="971" spans="1:21" ht="15.75" customHeight="1" x14ac:dyDescent="0.2">
      <c r="A971" s="37"/>
      <c r="B971" s="37"/>
      <c r="C971" s="20"/>
      <c r="D971" s="20"/>
      <c r="E971" s="20"/>
      <c r="F971" s="20"/>
      <c r="G971" s="20"/>
      <c r="H971" s="37"/>
      <c r="I971" s="37"/>
      <c r="J971" s="37"/>
      <c r="K971" s="37"/>
      <c r="L971" s="37"/>
      <c r="M971" s="37"/>
      <c r="N971" s="37"/>
      <c r="O971" s="37"/>
      <c r="P971" s="37"/>
      <c r="Q971" s="37"/>
      <c r="R971" s="37"/>
      <c r="S971" s="37"/>
      <c r="T971" s="37"/>
      <c r="U971" s="37"/>
    </row>
    <row r="972" spans="1:21" ht="15.75" customHeight="1" x14ac:dyDescent="0.2">
      <c r="A972" s="37"/>
      <c r="B972" s="37"/>
      <c r="C972" s="20"/>
      <c r="D972" s="20"/>
      <c r="E972" s="20"/>
      <c r="F972" s="20"/>
      <c r="G972" s="20"/>
      <c r="H972" s="37"/>
      <c r="I972" s="37"/>
      <c r="J972" s="37"/>
      <c r="K972" s="37"/>
      <c r="L972" s="37"/>
      <c r="M972" s="37"/>
      <c r="N972" s="37"/>
      <c r="O972" s="37"/>
      <c r="P972" s="37"/>
      <c r="Q972" s="37"/>
      <c r="R972" s="37"/>
      <c r="S972" s="37"/>
      <c r="T972" s="37"/>
      <c r="U972" s="37"/>
    </row>
    <row r="973" spans="1:21" ht="15.75" customHeight="1" x14ac:dyDescent="0.2">
      <c r="A973" s="37"/>
      <c r="B973" s="37"/>
      <c r="C973" s="20"/>
      <c r="D973" s="20"/>
      <c r="E973" s="20"/>
      <c r="F973" s="20"/>
      <c r="G973" s="20"/>
      <c r="H973" s="37"/>
      <c r="I973" s="37"/>
      <c r="J973" s="37"/>
      <c r="K973" s="37"/>
      <c r="L973" s="37"/>
      <c r="M973" s="37"/>
      <c r="N973" s="37"/>
      <c r="O973" s="37"/>
      <c r="P973" s="37"/>
      <c r="Q973" s="37"/>
      <c r="R973" s="37"/>
      <c r="S973" s="37"/>
      <c r="T973" s="37"/>
      <c r="U973" s="37"/>
    </row>
    <row r="974" spans="1:21" ht="15.75" customHeight="1" x14ac:dyDescent="0.2">
      <c r="A974" s="37"/>
      <c r="B974" s="37"/>
      <c r="C974" s="20"/>
      <c r="D974" s="20"/>
      <c r="E974" s="20"/>
      <c r="F974" s="20"/>
      <c r="G974" s="20"/>
      <c r="H974" s="37"/>
      <c r="I974" s="37"/>
      <c r="J974" s="37"/>
      <c r="K974" s="37"/>
      <c r="L974" s="37"/>
      <c r="M974" s="37"/>
      <c r="N974" s="37"/>
      <c r="O974" s="37"/>
      <c r="P974" s="37"/>
      <c r="Q974" s="37"/>
      <c r="R974" s="37"/>
      <c r="S974" s="37"/>
      <c r="T974" s="37"/>
      <c r="U974" s="37"/>
    </row>
    <row r="975" spans="1:21" ht="15.75" customHeight="1" x14ac:dyDescent="0.2">
      <c r="A975" s="37"/>
      <c r="B975" s="37"/>
      <c r="C975" s="20"/>
      <c r="D975" s="20"/>
      <c r="E975" s="20"/>
      <c r="F975" s="20"/>
      <c r="G975" s="20"/>
      <c r="H975" s="37"/>
      <c r="I975" s="37"/>
      <c r="J975" s="37"/>
      <c r="K975" s="37"/>
      <c r="L975" s="37"/>
      <c r="M975" s="37"/>
      <c r="N975" s="37"/>
      <c r="O975" s="37"/>
      <c r="P975" s="37"/>
      <c r="Q975" s="37"/>
      <c r="R975" s="37"/>
      <c r="S975" s="37"/>
      <c r="T975" s="37"/>
      <c r="U975" s="37"/>
    </row>
    <row r="976" spans="1:21" ht="15.75" customHeight="1" x14ac:dyDescent="0.2">
      <c r="A976" s="37"/>
      <c r="B976" s="37"/>
      <c r="C976" s="20"/>
      <c r="D976" s="20"/>
      <c r="E976" s="20"/>
      <c r="F976" s="20"/>
      <c r="G976" s="20"/>
      <c r="H976" s="37"/>
      <c r="I976" s="37"/>
      <c r="J976" s="37"/>
      <c r="K976" s="37"/>
      <c r="L976" s="37"/>
      <c r="M976" s="37"/>
      <c r="N976" s="37"/>
      <c r="O976" s="37"/>
      <c r="P976" s="37"/>
      <c r="Q976" s="37"/>
      <c r="R976" s="37"/>
      <c r="S976" s="37"/>
      <c r="T976" s="37"/>
      <c r="U976" s="37"/>
    </row>
    <row r="977" spans="1:21" ht="15.75" customHeight="1" x14ac:dyDescent="0.2">
      <c r="A977" s="37"/>
      <c r="B977" s="37"/>
      <c r="C977" s="20"/>
      <c r="D977" s="20"/>
      <c r="E977" s="20"/>
      <c r="F977" s="20"/>
      <c r="G977" s="20"/>
      <c r="H977" s="37"/>
      <c r="I977" s="37"/>
      <c r="J977" s="37"/>
      <c r="K977" s="37"/>
      <c r="L977" s="37"/>
      <c r="M977" s="37"/>
      <c r="N977" s="37"/>
      <c r="O977" s="37"/>
      <c r="P977" s="37"/>
      <c r="Q977" s="37"/>
      <c r="R977" s="37"/>
      <c r="S977" s="37"/>
      <c r="T977" s="37"/>
      <c r="U977" s="37"/>
    </row>
    <row r="978" spans="1:21" ht="15.75" customHeight="1" x14ac:dyDescent="0.2">
      <c r="A978" s="37"/>
      <c r="B978" s="37"/>
      <c r="C978" s="20"/>
      <c r="D978" s="20"/>
      <c r="E978" s="20"/>
      <c r="F978" s="20"/>
      <c r="G978" s="20"/>
      <c r="H978" s="37"/>
      <c r="I978" s="37"/>
      <c r="J978" s="37"/>
      <c r="K978" s="37"/>
      <c r="L978" s="37"/>
      <c r="M978" s="37"/>
      <c r="N978" s="37"/>
      <c r="O978" s="37"/>
      <c r="P978" s="37"/>
      <c r="Q978" s="37"/>
      <c r="R978" s="37"/>
      <c r="S978" s="37"/>
      <c r="T978" s="37"/>
      <c r="U978" s="37"/>
    </row>
    <row r="979" spans="1:21" ht="15.75" customHeight="1" x14ac:dyDescent="0.2">
      <c r="A979" s="37"/>
      <c r="B979" s="37"/>
      <c r="C979" s="20"/>
      <c r="D979" s="20"/>
      <c r="E979" s="20"/>
      <c r="F979" s="20"/>
      <c r="G979" s="20"/>
      <c r="H979" s="37"/>
      <c r="I979" s="37"/>
      <c r="J979" s="37"/>
      <c r="K979" s="37"/>
      <c r="L979" s="37"/>
      <c r="M979" s="37"/>
      <c r="N979" s="37"/>
      <c r="O979" s="37"/>
      <c r="P979" s="37"/>
      <c r="Q979" s="37"/>
      <c r="R979" s="37"/>
      <c r="S979" s="37"/>
      <c r="T979" s="37"/>
      <c r="U979" s="37"/>
    </row>
    <row r="980" spans="1:21" ht="15.75" customHeight="1" x14ac:dyDescent="0.2">
      <c r="A980" s="37"/>
      <c r="B980" s="37"/>
      <c r="C980" s="20"/>
      <c r="D980" s="20"/>
      <c r="E980" s="20"/>
      <c r="F980" s="20"/>
      <c r="G980" s="20"/>
      <c r="H980" s="37"/>
      <c r="I980" s="37"/>
      <c r="J980" s="37"/>
      <c r="K980" s="37"/>
      <c r="L980" s="37"/>
      <c r="M980" s="37"/>
      <c r="N980" s="37"/>
      <c r="O980" s="37"/>
      <c r="P980" s="37"/>
      <c r="Q980" s="37"/>
      <c r="R980" s="37"/>
      <c r="S980" s="37"/>
      <c r="T980" s="37"/>
      <c r="U980" s="37"/>
    </row>
    <row r="981" spans="1:21" ht="15.75" customHeight="1" x14ac:dyDescent="0.2">
      <c r="A981" s="37"/>
      <c r="B981" s="37"/>
      <c r="C981" s="20"/>
      <c r="D981" s="20"/>
      <c r="E981" s="20"/>
      <c r="F981" s="20"/>
      <c r="G981" s="20"/>
      <c r="H981" s="37"/>
      <c r="I981" s="37"/>
      <c r="J981" s="37"/>
      <c r="K981" s="37"/>
      <c r="L981" s="37"/>
      <c r="M981" s="37"/>
      <c r="N981" s="37"/>
      <c r="O981" s="37"/>
      <c r="P981" s="37"/>
      <c r="Q981" s="37"/>
      <c r="R981" s="37"/>
      <c r="S981" s="37"/>
      <c r="T981" s="37"/>
      <c r="U981" s="37"/>
    </row>
    <row r="982" spans="1:21" ht="15.75" customHeight="1" x14ac:dyDescent="0.2">
      <c r="A982" s="37"/>
      <c r="B982" s="37"/>
      <c r="C982" s="20"/>
      <c r="D982" s="20"/>
      <c r="E982" s="20"/>
      <c r="F982" s="20"/>
      <c r="G982" s="20"/>
      <c r="H982" s="37"/>
      <c r="I982" s="37"/>
      <c r="J982" s="37"/>
      <c r="K982" s="37"/>
      <c r="L982" s="37"/>
      <c r="M982" s="37"/>
      <c r="N982" s="37"/>
      <c r="O982" s="37"/>
      <c r="P982" s="37"/>
      <c r="Q982" s="37"/>
      <c r="R982" s="37"/>
      <c r="S982" s="37"/>
      <c r="T982" s="37"/>
      <c r="U982" s="37"/>
    </row>
    <row r="983" spans="1:21" ht="15.75" customHeight="1" x14ac:dyDescent="0.2">
      <c r="A983" s="37"/>
      <c r="B983" s="37"/>
      <c r="C983" s="20"/>
      <c r="D983" s="20"/>
      <c r="E983" s="20"/>
      <c r="F983" s="20"/>
      <c r="G983" s="20"/>
      <c r="H983" s="37"/>
      <c r="I983" s="37"/>
      <c r="J983" s="37"/>
      <c r="K983" s="37"/>
      <c r="L983" s="37"/>
      <c r="M983" s="37"/>
      <c r="N983" s="37"/>
      <c r="O983" s="37"/>
      <c r="P983" s="37"/>
      <c r="Q983" s="37"/>
      <c r="R983" s="37"/>
      <c r="S983" s="37"/>
      <c r="T983" s="37"/>
      <c r="U983" s="37"/>
    </row>
    <row r="984" spans="1:21" ht="15.75" customHeight="1" x14ac:dyDescent="0.2">
      <c r="A984" s="37"/>
      <c r="B984" s="37"/>
      <c r="C984" s="20"/>
      <c r="D984" s="20"/>
      <c r="E984" s="20"/>
      <c r="F984" s="20"/>
      <c r="G984" s="20"/>
      <c r="H984" s="37"/>
      <c r="I984" s="37"/>
      <c r="J984" s="37"/>
      <c r="K984" s="37"/>
      <c r="L984" s="37"/>
      <c r="M984" s="37"/>
      <c r="N984" s="37"/>
      <c r="O984" s="37"/>
      <c r="P984" s="37"/>
      <c r="Q984" s="37"/>
      <c r="R984" s="37"/>
      <c r="S984" s="37"/>
      <c r="T984" s="37"/>
      <c r="U984" s="37"/>
    </row>
    <row r="985" spans="1:21" ht="15.75" customHeight="1" x14ac:dyDescent="0.2">
      <c r="A985" s="37"/>
      <c r="B985" s="37"/>
      <c r="C985" s="20"/>
      <c r="D985" s="20"/>
      <c r="E985" s="20"/>
      <c r="F985" s="20"/>
      <c r="G985" s="20"/>
      <c r="H985" s="37"/>
      <c r="I985" s="37"/>
      <c r="J985" s="37"/>
      <c r="K985" s="37"/>
      <c r="L985" s="37"/>
      <c r="M985" s="37"/>
      <c r="N985" s="37"/>
      <c r="O985" s="37"/>
      <c r="P985" s="37"/>
      <c r="Q985" s="37"/>
      <c r="R985" s="37"/>
      <c r="S985" s="37"/>
      <c r="T985" s="37"/>
      <c r="U985" s="37"/>
    </row>
    <row r="986" spans="1:21" ht="15.75" customHeight="1" x14ac:dyDescent="0.2">
      <c r="A986" s="37"/>
      <c r="B986" s="37"/>
      <c r="C986" s="20"/>
      <c r="D986" s="20"/>
      <c r="E986" s="20"/>
      <c r="F986" s="20"/>
      <c r="G986" s="20"/>
      <c r="H986" s="37"/>
      <c r="I986" s="37"/>
      <c r="J986" s="37"/>
      <c r="K986" s="37"/>
      <c r="L986" s="37"/>
      <c r="M986" s="37"/>
      <c r="N986" s="37"/>
      <c r="O986" s="37"/>
      <c r="P986" s="37"/>
      <c r="Q986" s="37"/>
      <c r="R986" s="37"/>
      <c r="S986" s="37"/>
      <c r="T986" s="37"/>
      <c r="U986" s="37"/>
    </row>
    <row r="987" spans="1:21" ht="15.75" customHeight="1" x14ac:dyDescent="0.2">
      <c r="A987" s="37"/>
      <c r="B987" s="37"/>
      <c r="C987" s="20"/>
      <c r="D987" s="20"/>
      <c r="E987" s="20"/>
      <c r="F987" s="20"/>
      <c r="G987" s="20"/>
      <c r="H987" s="37"/>
      <c r="I987" s="37"/>
      <c r="J987" s="37"/>
      <c r="K987" s="37"/>
      <c r="L987" s="37"/>
      <c r="M987" s="37"/>
      <c r="N987" s="37"/>
      <c r="O987" s="37"/>
      <c r="P987" s="37"/>
      <c r="Q987" s="37"/>
      <c r="R987" s="37"/>
      <c r="S987" s="37"/>
      <c r="T987" s="37"/>
      <c r="U987" s="37"/>
    </row>
    <row r="988" spans="1:21" ht="15.75" customHeight="1" x14ac:dyDescent="0.2">
      <c r="A988" s="37"/>
      <c r="B988" s="37"/>
      <c r="C988" s="20"/>
      <c r="D988" s="20"/>
      <c r="E988" s="20"/>
      <c r="F988" s="20"/>
      <c r="G988" s="20"/>
      <c r="H988" s="37"/>
      <c r="I988" s="37"/>
      <c r="J988" s="37"/>
      <c r="K988" s="37"/>
      <c r="L988" s="37"/>
      <c r="M988" s="37"/>
      <c r="N988" s="37"/>
      <c r="O988" s="37"/>
      <c r="P988" s="37"/>
      <c r="Q988" s="37"/>
      <c r="R988" s="37"/>
      <c r="S988" s="37"/>
      <c r="T988" s="37"/>
      <c r="U988" s="37"/>
    </row>
    <row r="989" spans="1:21" ht="15.75" customHeight="1" x14ac:dyDescent="0.2">
      <c r="A989" s="37"/>
      <c r="B989" s="37"/>
      <c r="C989" s="20"/>
      <c r="D989" s="20"/>
      <c r="E989" s="20"/>
      <c r="F989" s="20"/>
      <c r="G989" s="20"/>
      <c r="H989" s="37"/>
      <c r="I989" s="37"/>
      <c r="J989" s="37"/>
      <c r="K989" s="37"/>
      <c r="L989" s="37"/>
      <c r="M989" s="37"/>
      <c r="N989" s="37"/>
      <c r="O989" s="37"/>
      <c r="P989" s="37"/>
      <c r="Q989" s="37"/>
      <c r="R989" s="37"/>
      <c r="S989" s="37"/>
      <c r="T989" s="37"/>
      <c r="U989" s="37"/>
    </row>
    <row r="990" spans="1:21" ht="15.75" customHeight="1" x14ac:dyDescent="0.2">
      <c r="A990" s="37"/>
      <c r="B990" s="37"/>
      <c r="C990" s="20"/>
      <c r="D990" s="20"/>
      <c r="E990" s="20"/>
      <c r="F990" s="20"/>
      <c r="G990" s="20"/>
      <c r="H990" s="37"/>
      <c r="I990" s="37"/>
      <c r="J990" s="37"/>
      <c r="K990" s="37"/>
      <c r="L990" s="37"/>
      <c r="M990" s="37"/>
      <c r="N990" s="37"/>
      <c r="O990" s="37"/>
      <c r="P990" s="37"/>
      <c r="Q990" s="37"/>
      <c r="R990" s="37"/>
      <c r="S990" s="37"/>
      <c r="T990" s="37"/>
      <c r="U990" s="37"/>
    </row>
    <row r="991" spans="1:21" ht="15.75" customHeight="1" x14ac:dyDescent="0.2">
      <c r="A991" s="37"/>
      <c r="B991" s="37"/>
      <c r="C991" s="20"/>
      <c r="D991" s="20"/>
      <c r="E991" s="20"/>
      <c r="F991" s="20"/>
      <c r="G991" s="20"/>
      <c r="H991" s="37"/>
      <c r="I991" s="37"/>
      <c r="J991" s="37"/>
      <c r="K991" s="37"/>
      <c r="L991" s="37"/>
      <c r="M991" s="37"/>
      <c r="N991" s="37"/>
      <c r="O991" s="37"/>
      <c r="P991" s="37"/>
      <c r="Q991" s="37"/>
      <c r="R991" s="37"/>
      <c r="S991" s="37"/>
      <c r="T991" s="37"/>
      <c r="U991" s="37"/>
    </row>
    <row r="992" spans="1:21" ht="15.75" customHeight="1" x14ac:dyDescent="0.2">
      <c r="A992" s="37"/>
      <c r="B992" s="37"/>
      <c r="C992" s="20"/>
      <c r="D992" s="20"/>
      <c r="E992" s="20"/>
      <c r="F992" s="20"/>
      <c r="G992" s="20"/>
      <c r="H992" s="37"/>
      <c r="I992" s="37"/>
      <c r="J992" s="37"/>
      <c r="K992" s="37"/>
      <c r="L992" s="37"/>
      <c r="M992" s="37"/>
      <c r="N992" s="37"/>
      <c r="O992" s="37"/>
      <c r="P992" s="37"/>
      <c r="Q992" s="37"/>
      <c r="R992" s="37"/>
      <c r="S992" s="37"/>
      <c r="T992" s="37"/>
      <c r="U992" s="37"/>
    </row>
    <row r="993" spans="1:21" ht="15.75" customHeight="1" x14ac:dyDescent="0.2">
      <c r="A993" s="37"/>
      <c r="B993" s="37"/>
      <c r="C993" s="20"/>
      <c r="D993" s="20"/>
      <c r="E993" s="20"/>
      <c r="F993" s="20"/>
      <c r="G993" s="20"/>
      <c r="H993" s="37"/>
      <c r="I993" s="37"/>
      <c r="J993" s="37"/>
      <c r="K993" s="37"/>
      <c r="L993" s="37"/>
      <c r="M993" s="37"/>
      <c r="N993" s="37"/>
      <c r="O993" s="37"/>
      <c r="P993" s="37"/>
      <c r="Q993" s="37"/>
      <c r="R993" s="37"/>
      <c r="S993" s="37"/>
      <c r="T993" s="37"/>
      <c r="U993" s="37"/>
    </row>
    <row r="994" spans="1:21" ht="15.75" customHeight="1" x14ac:dyDescent="0.2">
      <c r="A994" s="37"/>
      <c r="B994" s="37"/>
      <c r="C994" s="20"/>
      <c r="D994" s="20"/>
      <c r="E994" s="20"/>
      <c r="F994" s="20"/>
      <c r="G994" s="20"/>
      <c r="H994" s="37"/>
      <c r="I994" s="37"/>
      <c r="J994" s="37"/>
      <c r="K994" s="37"/>
      <c r="L994" s="37"/>
      <c r="M994" s="37"/>
      <c r="N994" s="37"/>
      <c r="O994" s="37"/>
      <c r="P994" s="37"/>
      <c r="Q994" s="37"/>
      <c r="R994" s="37"/>
      <c r="S994" s="37"/>
      <c r="T994" s="37"/>
      <c r="U994" s="37"/>
    </row>
    <row r="995" spans="1:21" ht="15.75" customHeight="1" x14ac:dyDescent="0.2">
      <c r="A995" s="37"/>
      <c r="B995" s="37"/>
      <c r="C995" s="20"/>
      <c r="D995" s="20"/>
      <c r="E995" s="20"/>
      <c r="F995" s="20"/>
      <c r="G995" s="20"/>
      <c r="H995" s="37"/>
      <c r="I995" s="37"/>
      <c r="J995" s="37"/>
      <c r="K995" s="37"/>
      <c r="L995" s="37"/>
      <c r="M995" s="37"/>
      <c r="N995" s="37"/>
      <c r="O995" s="37"/>
      <c r="P995" s="37"/>
      <c r="Q995" s="37"/>
      <c r="R995" s="37"/>
      <c r="S995" s="37"/>
      <c r="T995" s="37"/>
      <c r="U995" s="37"/>
    </row>
    <row r="996" spans="1:21" ht="15.75" customHeight="1" x14ac:dyDescent="0.2">
      <c r="A996" s="37"/>
      <c r="B996" s="37"/>
      <c r="C996" s="20"/>
      <c r="D996" s="20"/>
      <c r="E996" s="20"/>
      <c r="F996" s="20"/>
      <c r="G996" s="20"/>
      <c r="H996" s="37"/>
      <c r="I996" s="37"/>
      <c r="J996" s="37"/>
      <c r="K996" s="37"/>
      <c r="L996" s="37"/>
      <c r="M996" s="37"/>
      <c r="N996" s="37"/>
      <c r="O996" s="37"/>
      <c r="P996" s="37"/>
      <c r="Q996" s="37"/>
      <c r="R996" s="37"/>
      <c r="S996" s="37"/>
      <c r="T996" s="37"/>
      <c r="U996" s="37"/>
    </row>
    <row r="997" spans="1:21" ht="15.75" customHeight="1" x14ac:dyDescent="0.2">
      <c r="A997" s="37"/>
      <c r="B997" s="37"/>
      <c r="C997" s="20"/>
      <c r="D997" s="20"/>
      <c r="E997" s="20"/>
      <c r="F997" s="20"/>
      <c r="G997" s="20"/>
      <c r="H997" s="37"/>
      <c r="I997" s="37"/>
      <c r="J997" s="37"/>
      <c r="K997" s="37"/>
      <c r="L997" s="37"/>
      <c r="M997" s="37"/>
      <c r="N997" s="37"/>
      <c r="O997" s="37"/>
      <c r="P997" s="37"/>
      <c r="Q997" s="37"/>
      <c r="R997" s="37"/>
      <c r="S997" s="37"/>
      <c r="T997" s="37"/>
      <c r="U997" s="37"/>
    </row>
    <row r="998" spans="1:21" ht="15.75" customHeight="1" x14ac:dyDescent="0.2">
      <c r="A998" s="37"/>
      <c r="B998" s="37"/>
      <c r="C998" s="20"/>
      <c r="D998" s="20"/>
      <c r="E998" s="20"/>
      <c r="F998" s="20"/>
      <c r="G998" s="20"/>
      <c r="H998" s="37"/>
      <c r="I998" s="37"/>
      <c r="J998" s="37"/>
      <c r="K998" s="37"/>
      <c r="L998" s="37"/>
      <c r="M998" s="37"/>
      <c r="N998" s="37"/>
      <c r="O998" s="37"/>
      <c r="P998" s="37"/>
      <c r="Q998" s="37"/>
      <c r="R998" s="37"/>
      <c r="S998" s="37"/>
      <c r="T998" s="37"/>
      <c r="U998" s="37"/>
    </row>
    <row r="999" spans="1:21" ht="15.75" customHeight="1" x14ac:dyDescent="0.2">
      <c r="A999" s="37"/>
      <c r="B999" s="37"/>
      <c r="C999" s="20"/>
      <c r="D999" s="20"/>
      <c r="E999" s="20"/>
      <c r="F999" s="20"/>
      <c r="G999" s="20"/>
      <c r="H999" s="37"/>
      <c r="I999" s="37"/>
      <c r="J999" s="37"/>
      <c r="K999" s="37"/>
      <c r="L999" s="37"/>
      <c r="M999" s="37"/>
      <c r="N999" s="37"/>
      <c r="O999" s="37"/>
      <c r="P999" s="37"/>
      <c r="Q999" s="37"/>
      <c r="R999" s="37"/>
      <c r="S999" s="37"/>
      <c r="T999" s="37"/>
      <c r="U999" s="37"/>
    </row>
    <row r="1000" spans="1:21" ht="15.75" customHeight="1" x14ac:dyDescent="0.2">
      <c r="A1000" s="37"/>
      <c r="B1000" s="37"/>
      <c r="C1000" s="20"/>
      <c r="D1000" s="20"/>
      <c r="E1000" s="20"/>
      <c r="F1000" s="20"/>
      <c r="G1000" s="20"/>
      <c r="H1000" s="37"/>
      <c r="I1000" s="37"/>
      <c r="J1000" s="37"/>
      <c r="K1000" s="37"/>
      <c r="L1000" s="37"/>
      <c r="M1000" s="37"/>
      <c r="N1000" s="37"/>
      <c r="O1000" s="37"/>
      <c r="P1000" s="37"/>
      <c r="Q1000" s="37"/>
      <c r="R1000" s="37"/>
      <c r="S1000" s="37"/>
      <c r="T1000" s="37"/>
      <c r="U1000" s="3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Transporation</vt:lpstr>
      <vt:lpstr>LEGEND - explains color coding</vt:lpstr>
      <vt:lpstr>FPP 2026</vt:lpstr>
      <vt:lpstr>Emma_Notes_6.26</vt:lpstr>
      <vt:lpstr>FPP 23 Spring Delivery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Natalie Alba</cp:lastModifiedBy>
  <cp:revision/>
  <dcterms:created xsi:type="dcterms:W3CDTF">2020-03-26T17:43:40Z</dcterms:created>
  <dcterms:modified xsi:type="dcterms:W3CDTF">2026-06-18T23:57:07Z</dcterms:modified>
  <cp:category/>
  <cp:contentStatus/>
</cp:coreProperties>
</file>